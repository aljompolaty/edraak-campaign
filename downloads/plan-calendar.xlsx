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11.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لوحة المؤشرات" sheetId="1" state="visible" r:id="rId3"/>
    <sheet name="التقويم" sheetId="2" state="visible" r:id="rId4"/>
    <sheet name="الحزم" sheetId="3" state="visible" r:id="rId5"/>
    <sheet name="الهاشتاقات" sheetId="4" state="visible" r:id="rId6"/>
    <sheet name="البرومبتات" sheetId="5" state="visible" r:id="rId7"/>
    <sheet name="اختبار النسخ" sheetId="6" state="visible" r:id="rId8"/>
    <sheet name="المؤثرون" sheetId="7" state="visible" r:id="rId9"/>
    <sheet name="مؤشرات الأداء" sheetId="8" state="visible" r:id="rId10"/>
    <sheet name="المنصات" sheetId="9" state="visible" r:id="rId11"/>
    <sheet name="الأسئلة الشائعة" sheetId="10" state="visible" r:id="rId12"/>
    <sheet name="الفحص" sheetId="11" state="visible" r:id="rId13"/>
  </sheets>
  <definedNames>
    <definedName function="false" hidden="true" localSheetId="1" name="_xlnm._FilterDatabase" vbProcedure="false">التقويم!$A$2:$J$17</definedName>
    <definedName function="false" hidden="true" localSheetId="2" name="_xlnm._FilterDatabase" vbProcedure="false">الحزم!$A$2:$I$17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<sst xmlns="http://schemas.openxmlformats.org/spreadsheetml/2006/main" count="615" uniqueCount="254">
  <si>
    <t xml:space="preserve">لوحة حملة: حملة إدراك الهندسية – التكييف على فيسبوك</t>
  </si>
  <si>
    <t xml:space="preserve">الهدف</t>
  </si>
  <si>
    <t xml:space="preserve">توليد عملاء محتملين</t>
  </si>
  <si>
    <t xml:space="preserve">المنتج / الخدمة</t>
  </si>
  <si>
    <t xml:space="preserve">توريد وتركيب وصيانة أجهزة التكييف (O General، Midea، Samsung، LG، Gree) مع باقي خدمات الشركة</t>
  </si>
  <si>
    <t xml:space="preserve">الجمهور المستهدف</t>
  </si>
  <si>
    <t xml:space="preserve">أصحاب المنازل والوحدات السكنية والمحلات التجارية والمنشآت في السودان</t>
  </si>
  <si>
    <t xml:space="preserve">السوق</t>
  </si>
  <si>
    <t xml:space="preserve">السودان</t>
  </si>
  <si>
    <t xml:space="preserve">اللهجة</t>
  </si>
  <si>
    <t xml:space="preserve">سودانية</t>
  </si>
  <si>
    <t xml:space="preserve">تاريخ البدء</t>
  </si>
  <si>
    <t xml:space="preserve">تاريخ الانتهاء</t>
  </si>
  <si>
    <t xml:space="preserve">المدة (أيام)</t>
  </si>
  <si>
    <t xml:space="preserve">المنصات</t>
  </si>
  <si>
    <t xml:space="preserve">facebook</t>
  </si>
  <si>
    <t xml:space="preserve">توزيع الركائز</t>
  </si>
  <si>
    <t xml:space="preserve">الركيزة</t>
  </si>
  <si>
    <t xml:space="preserve">المستهدف</t>
  </si>
  <si>
    <t xml:space="preserve">العدد الفعلي</t>
  </si>
  <si>
    <t xml:space="preserve">النسبة الفعلية</t>
  </si>
  <si>
    <t xml:space="preserve">الانحراف</t>
  </si>
  <si>
    <t xml:space="preserve">الحالة</t>
  </si>
  <si>
    <t xml:space="preserve">تعليمي وقيمة</t>
  </si>
  <si>
    <t xml:space="preserve">تفاعلي ومجتمعي</t>
  </si>
  <si>
    <t xml:space="preserve">ثقة وأدلة اجتماعية</t>
  </si>
  <si>
    <t xml:space="preserve">ترويجي مباشر</t>
  </si>
  <si>
    <t xml:space="preserve">الإجمالي</t>
  </si>
  <si>
    <t xml:space="preserve">المنصة</t>
  </si>
  <si>
    <t xml:space="preserve">عدد المنشورات</t>
  </si>
  <si>
    <t xml:space="preserve">النسبة</t>
  </si>
  <si>
    <t xml:space="preserve">حالة المحتوى</t>
  </si>
  <si>
    <t xml:space="preserve">العدد</t>
  </si>
  <si>
    <t xml:space="preserve">مسودة</t>
  </si>
  <si>
    <t xml:space="preserve">جاهز للمراجعة</t>
  </si>
  <si>
    <t xml:space="preserve">مجدول</t>
  </si>
  <si>
    <t xml:space="preserve">منشور</t>
  </si>
  <si>
    <t xml:space="preserve">فحص الجودة</t>
  </si>
  <si>
    <t xml:space="preserve">إجمالي المنشورات</t>
  </si>
  <si>
    <t xml:space="preserve">أخطاء يجب إصلاحها</t>
  </si>
  <si>
    <t xml:space="preserve">تحذيرات للمراجعة</t>
  </si>
  <si>
    <t xml:space="preserve">التقويم التحريري</t>
  </si>
  <si>
    <t xml:space="preserve">الرقم</t>
  </si>
  <si>
    <t xml:space="preserve">التاريخ</t>
  </si>
  <si>
    <t xml:space="preserve">اليوم</t>
  </si>
  <si>
    <t xml:space="preserve">الخطاف</t>
  </si>
  <si>
    <t xml:space="preserve">الشكل</t>
  </si>
  <si>
    <t xml:space="preserve">نوع الأصل البصري</t>
  </si>
  <si>
    <t xml:space="preserve">P01</t>
  </si>
  <si>
    <t xml:space="preserve">الأحد</t>
  </si>
  <si>
    <t xml:space="preserve">يا جماعة، المكيف ما بيبرد بس بالجهاز... التركيب الصح هو الفرق!</t>
  </si>
  <si>
    <t xml:space="preserve">منشور صورة</t>
  </si>
  <si>
    <t xml:space="preserve">غلاف بهوية الشركة</t>
  </si>
  <si>
    <t xml:space="preserve">P02</t>
  </si>
  <si>
    <t xml:space="preserve">الاثنين</t>
  </si>
  <si>
    <t xml:space="preserve">شنو أكبر مشكلة عندك في المكيف هسه؟ 🤔</t>
  </si>
  <si>
    <t xml:space="preserve">منشور نصي مع صورة</t>
  </si>
  <si>
    <t xml:space="preserve">صورة استطلاع</t>
  </si>
  <si>
    <t xml:space="preserve">تفاعل</t>
  </si>
  <si>
    <t xml:space="preserve">P03</t>
  </si>
  <si>
    <t xml:space="preserve">الثلاثاء</t>
  </si>
  <si>
    <t xml:space="preserve">من البيت الصغير لحد المحل التجاري... عندنا مكيفات O General.</t>
  </si>
  <si>
    <t xml:space="preserve">منشور صورة منتج</t>
  </si>
  <si>
    <t xml:space="preserve">صورة منتج عامة (يضاف شعار البراند لاحقاً من ملفاته الرسمية)</t>
  </si>
  <si>
    <t xml:space="preserve">P04</t>
  </si>
  <si>
    <t xml:space="preserve">الأربعاء</t>
  </si>
  <si>
    <t xml:space="preserve">قبل ما تشتري المكيف، اسأل: المساحة كم؟ والعزل كويس ولا لأ؟</t>
  </si>
  <si>
    <t xml:space="preserve">منشور إنفوجرافيك</t>
  </si>
  <si>
    <t xml:space="preserve">إنفوجرافيك</t>
  </si>
  <si>
    <t xml:space="preserve">P05</t>
  </si>
  <si>
    <t xml:space="preserve">الخميس</t>
  </si>
  <si>
    <t xml:space="preserve">فنيينا ما بيشتغلوا بالتخمين... بيشتغلوا بالخبرة.</t>
  </si>
  <si>
    <t xml:space="preserve">صورة فريق</t>
  </si>
  <si>
    <t xml:space="preserve">صورة فريق حقيقية [يتطلب موافقة الفريق قبل النشر]</t>
  </si>
  <si>
    <t xml:space="preserve">بناء مجتمع</t>
  </si>
  <si>
    <t xml:space="preserve">P06</t>
  </si>
  <si>
    <t xml:space="preserve">الجمعة</t>
  </si>
  <si>
    <t xml:space="preserve">الحر ما بيستنى... ومكيفات Midea عندنا بالتركيب والصيانة.</t>
  </si>
  <si>
    <t xml:space="preserve">P07</t>
  </si>
  <si>
    <t xml:space="preserve">السبت</t>
  </si>
  <si>
    <t xml:space="preserve">الكويلات المتسخة بتسرق برودة مكيفك وانت ما شايف!</t>
  </si>
  <si>
    <t xml:space="preserve">صورة مقارنة كويل نظيف ومتسخ</t>
  </si>
  <si>
    <t xml:space="preserve">P08</t>
  </si>
  <si>
    <t xml:space="preserve">وين بتحب تركب المكيف في بيتك؟ 🏠</t>
  </si>
  <si>
    <t xml:space="preserve">سؤال تفاعلي</t>
  </si>
  <si>
    <t xml:space="preserve">صورة تفاعلية لغرفة فارغة</t>
  </si>
  <si>
    <t xml:space="preserve">P09</t>
  </si>
  <si>
    <t xml:space="preserve">Samsung بتقنية حديثة... والتركيب الصح يكمل الصورة.</t>
  </si>
  <si>
    <t xml:space="preserve">P10</t>
  </si>
  <si>
    <t xml:space="preserve">المكيف بيديك إشارات قبل ما يقف... انت فاهمها؟</t>
  </si>
  <si>
    <t xml:space="preserve">قائمة علامات</t>
  </si>
  <si>
    <t xml:space="preserve">بطاقة علامات تحذير</t>
  </si>
  <si>
    <t xml:space="preserve">P11</t>
  </si>
  <si>
    <t xml:space="preserve">من التكييف للكهرباء والمولدات... كل خدماتنا في مكان واحد.</t>
  </si>
  <si>
    <t xml:space="preserve">كاروسيل خدمات</t>
  </si>
  <si>
    <t xml:space="preserve">كولاج خدمات</t>
  </si>
  <si>
    <t xml:space="preserve">P12</t>
  </si>
  <si>
    <t xml:space="preserve">LG بتفكر في راحتك... ونحن نهتم بالتركيب والصيانة.</t>
  </si>
  <si>
    <t xml:space="preserve">P13</t>
  </si>
  <si>
    <t xml:space="preserve">شاركنا تجربتك مع التركيب أو الصيانة!</t>
  </si>
  <si>
    <t xml:space="preserve">سؤال مفتوح</t>
  </si>
  <si>
    <t xml:space="preserve">صورة مجتمعية بسيطة</t>
  </si>
  <si>
    <t xml:space="preserve">P14</t>
  </si>
  <si>
    <t xml:space="preserve">الصيانة الدورية أحسن من الطوارئ... خليها عادة في بيتك.</t>
  </si>
  <si>
    <t xml:space="preserve">صورة فني أثناء الصيانة</t>
  </si>
  <si>
    <t xml:space="preserve">P15</t>
  </si>
  <si>
    <t xml:space="preserve">Gree لبيت بارد في الحر... وإدراك جاهزة تركبه وتصونه.</t>
  </si>
  <si>
    <t xml:space="preserve">حزم المنشورات الكاملة</t>
  </si>
  <si>
    <t xml:space="preserve">النص الكامل</t>
  </si>
  <si>
    <t xml:space="preserve">الكلمات المفتاحية</t>
  </si>
  <si>
    <t xml:space="preserve">عدد الأحرف</t>
  </si>
  <si>
    <t xml:space="preserve">الحد الأقصى</t>
  </si>
  <si>
    <t xml:space="preserve">يا جماعة، المكيف ما بيبرد بس بالجهاز... التركيب الصح هو الفرق!
في إدراك الهندسية نؤمن إن جودة التبريد تبدأ من التوريد والتركيب السليم، وتستمر بالصيانة الدورية. نقدم توريد وتركيب وصيانة أجهزة التكييف والتبريد بمختلف أنواعها، مع فنيين ذوي خبرة وإشراف هندسي متخصص. الحقيقة تفوق التوقعات.
كلمونا الآن: 0120066904 أو 0120066903
#إدراك_الهندسية #تكييف_السودان #تكييف</t>
  </si>
  <si>
    <t xml:space="preserve">شركة تكييف في السودان، تركيب مكيفات الخرطوم، صيانة مكيفات</t>
  </si>
  <si>
    <t xml:space="preserve">شنو أكبر مشكلة عندك في المكيف هسه؟ 🤔
ضعف برودة؟ صوت عالي؟ ريحة غير طبيعية؟ ولا ماية بتقطر من الوحدة الداخلية؟ اكتب المشكلة في التعليقات، وبنرد عليك بنصيحة أولية. وإذا الحالة محتاجة معاينة، فريقنا جاهز يحدد السبب بدقة.
اكتب في التعليقات أو اتصل: 0120066904
#إدراك_الهندسية #مكيفات</t>
  </si>
  <si>
    <t xml:space="preserve">مشاكل المكيف، صيانة مكيفات السودان</t>
  </si>
  <si>
    <t xml:space="preserve">من البيت الصغير لحد المحل التجاري... عندنا مكيفات O General.
نوفر مكيفات براند O General بأحجام وأنواع مختلفة، ونتولى توريدها وتركيبها وصيانتها. نحدد الموديل المناسب لمساحة مكانك بعد المعاينة، لأن الاختيار الصح يحافظ على البرودة ويساعد على استهلاك كهرباء أفضل.
اطلب معاينة لمكانك: 0120066904 أو 0120066903
#إدراك_الهندسية #OGeneral #مكيفات</t>
  </si>
  <si>
    <t xml:space="preserve">مكيف O General السودان، تركيب مكيفات الخرطوم</t>
  </si>
  <si>
    <t xml:space="preserve">قبل ما تشتري المكيف، اسأل: المساحة كم؟ والعزل كويس ولا لأ؟
حجم المكيف المناسب ما بيتحدد بالعين. بيعتمد على مساحة الغرفة، عدد النوافذ، اتجاه الشمس، والأجهزة الكهربائية الموجودة فيها. الاختيار الغلط يخلي الجهاز يشتغل أكتر من اللازم ويستهلك كهرباء زيادة، والاختيار الصح يريح المكان. نقدم معاينة لتحديد الحجم المناسب.
اسأل قبل ما تشتري: 0120066904
#إدراك_الهندسية #نصائح_تكييف #تكييف</t>
  </si>
  <si>
    <t xml:space="preserve">اختيار حجم المكيف، نصائح تركيب مكيف</t>
  </si>
  <si>
    <t xml:space="preserve">فنيينا ما بيشتغلوا بالتخمين... بيشتغلوا بالخبرة.
كوادرنا الفنية عندها خبرات طويلة في تركيب وصيانة أجهزة التكييف والتبريد بمختلف أنواعها، ويدعمها إشراف مهندسين متخصصين. نبدأ بمعاينة الموقع، ثم ننفذ بترتيب ودقة. الحقيقة تفوق التوقعات.
تابعونا وكلمونا: 0120066904
#إدراك_الهندسية #فنيين</t>
  </si>
  <si>
    <t xml:space="preserve">فنيي تكييف، شركة تركيب مكيفات</t>
  </si>
  <si>
    <t xml:space="preserve">الحر ما بيستنى... ومكيفات Midea عندنا بالتركيب والصيانة.
نوفر مكيفات براند Midea بأنواعها المختلفة، ونتولى تركيبها وصيانتها بفنيين مؤهلين. اختيار الموديل الأنسب يبدأ بمعرفة مساحة مكانك وطبيعة استخدامه، وهذا ما نساعدك فيه خلال المعاينة.
كلمونا لمعاينة مكانك: 0120066903
#إدراك_الهندسية #Midea #مكيفات</t>
  </si>
  <si>
    <t xml:space="preserve">مكيف Midea السودان، تركيب مكيف ميديا</t>
  </si>
  <si>
    <t xml:space="preserve">الكويلات المتسخة بتسرق برودة مكيفك وانت ما شايف!
تراكم الأتربة على الفلاتر والكويلات يقلل كفاءة التبريد، ويرفع استهلاك الكهرباء، ويضغط على مكونات الجهاز. التنظيف الدوري بالمواد المناسبة، مع التطهير والمراجعة، يحافظ على الأداء ويطيل عمر المكيف. نقدم خدمة تنظيف ومراجعة وتطهير وتعطير للمكيفات.
احجز صيانتك: 0120066904
#إدراك_الهندسية #صيانة_مكيفات #تنظيف</t>
  </si>
  <si>
    <t xml:space="preserve">تنظيف مكيفات الخرطوم، تنظيف الكويلات</t>
  </si>
  <si>
    <t xml:space="preserve">وين بتحب تركب المكيف في بيتك؟ 🏠
صالة؟ غرفة نوم؟ ولا محل تجاري؟ قول لنا المكان والمساحة تقريباً، وشاركنا أكبر تحدي عندك في التبريد. اختيار مكان التركيب يفرق كتير في البرودة وفي سهولة الصيانة بعدين.
اكتب ردك في التعليقات أو اتصل: 0120066904
#إدراك_الهندسية #تكييف</t>
  </si>
  <si>
    <t xml:space="preserve">مكان تركيب المكيف، تركيب مكيف في الصالة</t>
  </si>
  <si>
    <t xml:space="preserve">Samsung بتقنية حديثة... والتركيب الصح يكمل الصورة.
نوفر مكيفات Samsung بخيارات متعددة تناسب البيوت والمحلات والمكاتب، ونتولى معها التركيب والصيانة من فريق فني متخصص. اختيار الموديل يحتاج معاينة لمكانك، ونحن نساعدك تختار الأنسب.
احجز معاينة: 0120066904 أو 0120066903
#إدراك_الهندسية #Samsung #مكيفات</t>
  </si>
  <si>
    <t xml:space="preserve">مكيف سامسونج السودان، تركيب مكيف سامسونج</t>
  </si>
  <si>
    <t xml:space="preserve">المكيف بيديك إشارات قبل ما يقف... انت فاهمها؟
صوت غير عادي، ريحة مزعجة، ماية بتقطر من الوحدة الداخلية، أو برودة أضعف من المعتاد. كل علامة من دي ممكن تكون بداية عطل. التدخل المبكر أأمن وأريح من انتظار توقف الجهاز.
لو لاحظت أي علامة كلمونا: 0120066904
#إدراك_الهندسية #صيانة_مكيفات #مكيفات</t>
  </si>
  <si>
    <t xml:space="preserve">اعطال المكيف، صيانة طارئة مكيفات</t>
  </si>
  <si>
    <t xml:space="preserve">من التكييف للكهرباء والمولدات... كل خدماتنا في مكان واحد.
في إدراك الهندسية نقدم: توريد وتركيب وصيانة أجهزة التكييف والتبريد، وتنفيذ التمديدات الكهربائية للمنشآت والمنازل، وتوريد وتركيب وصيانة المولدات الكهربائية، وتنفيذ مشاريع الطاقة الشمسية، وتوريد قطع الغيار الأصلية، وخدمات استشارية لتفادي الأخطاء المحتملة. ونركز على التركيب السليم والصيانة الدورية.
اسأل عن أي خدمة: 0120066904 أو 0120066903
#إدراك_الهندسية #خدمات_هندسية</t>
  </si>
  <si>
    <t xml:space="preserve">شركة هندسية في السودان، صيانة مولدات كهرباء، تمديدات كهربائية</t>
  </si>
  <si>
    <t xml:space="preserve">LG بتفكر في راحتك... ونحن نهتم بالتركيب والصيانة.
نوفر مكيفات LG بأنواع مختلفة، ونتولى تركيبها بشكل مرتب وآمن، ونقدم صيانتها الدورية للحفاظ على كفاءتها. كلمنا نشوف معاك المكان والاحتياج، ونرشح لك الخيار المناسب.
اطلب معاينة: 0120066904
#إدراك_الهندسية #LG #مكيفات</t>
  </si>
  <si>
    <t xml:space="preserve">مكيف LG السودان، تركيب مكيف LG</t>
  </si>
  <si>
    <t xml:space="preserve">شاركنا تجربتك مع التركيب أو الصيانة!
هل عانيت من مكيف ما بيبرد؟ ولا عندك تجربة حلوة مع فني كويس؟ اكتب تجربتك في التعليقات، وبنرد على أي سؤال عن التركيب أو الصيانة. الهدف نتعلم من بعض ونساعد الجيران والأصحاب.
اكتب تجربتك في التعليقات
#إدراك_الهندسية #مكيفات</t>
  </si>
  <si>
    <t xml:space="preserve">تجربة تركيب مكيف، مشكلة مكيف</t>
  </si>
  <si>
    <t xml:space="preserve">الصيانة الدورية أحسن من الطوارئ... خليها عادة في بيتك.
الصيانة الدورية المتعاقد عليها تساعد في اكتشاف الأعطال بدري، وتحافظ على سلامة التركيب، وتطيل العمر الافتراضي للمعدات. نقدم الصيانة الدورية والطارئة لأنواع المكيفات المختلفة، بفنيين خبراء وإشراف هندسي.
اتفق معانا على صيانة دورية: 0120066904
#إدراك_الهندسية #صيانة_دورية #مكيفات</t>
  </si>
  <si>
    <t xml:space="preserve">عقد صيانة مكيفات، صيانة دورية للمكيفات</t>
  </si>
  <si>
    <t xml:space="preserve">Gree لبيت بارد في الحر... وإدراك جاهزة تركبه وتصونه.
نوفر مكيفات Gree بموديلات مختلفة، ونتولى توريدها وتركيبها وصيانتها. اختيار الجهاز الصحيح يبدأ بمعاينة المكان. تواصل معنا اليوم ونحدد لك الأنسب. الحقيقة تفوق التوقعات.
كلمونا الآن: 0120066904 أو 0120066903
#إدراك_الهندسية #Gree #مكيفات</t>
  </si>
  <si>
    <t xml:space="preserve">مكيف Gree السودان، تركيب مكيف جري</t>
  </si>
  <si>
    <t xml:space="preserve">الهاشتاقات والكلمات المفتاحية</t>
  </si>
  <si>
    <t xml:space="preserve">هاشتاقات تخصصية</t>
  </si>
  <si>
    <t xml:space="preserve">عدد التخصصية</t>
  </si>
  <si>
    <t xml:space="preserve">هاشتاقات عامة</t>
  </si>
  <si>
    <t xml:space="preserve">عدد العامة</t>
  </si>
  <si>
    <t xml:space="preserve">الحد المُوصى به</t>
  </si>
  <si>
    <t xml:space="preserve">#إدراك_الهندسية #تكييف_السودان</t>
  </si>
  <si>
    <t xml:space="preserve">#تكييف</t>
  </si>
  <si>
    <t xml:space="preserve">#إدراك_الهندسية</t>
  </si>
  <si>
    <t xml:space="preserve">#مكيفات</t>
  </si>
  <si>
    <t xml:space="preserve">#إدراك_الهندسية #OGeneral</t>
  </si>
  <si>
    <t xml:space="preserve">#إدراك_الهندسية #نصائح_تكييف</t>
  </si>
  <si>
    <t xml:space="preserve">#فنيين</t>
  </si>
  <si>
    <t xml:space="preserve">#إدراك_الهندسية #Midea</t>
  </si>
  <si>
    <t xml:space="preserve">#إدراك_الهندسية #صيانة_مكيفات</t>
  </si>
  <si>
    <t xml:space="preserve">#تنظيف</t>
  </si>
  <si>
    <t xml:space="preserve">#إدراك_الهندسية #Samsung</t>
  </si>
  <si>
    <t xml:space="preserve">#خدمات_هندسية</t>
  </si>
  <si>
    <t xml:space="preserve">#إدراك_الهندسية #LG</t>
  </si>
  <si>
    <t xml:space="preserve">#إدراك_الهندسية #صيانة_دورية</t>
  </si>
  <si>
    <t xml:space="preserve">#إدراك_الهندسية #Gree</t>
  </si>
  <si>
    <t xml:space="preserve">برومبتات توليد الصور (EN للمولدات + ترجمة عربية)</t>
  </si>
  <si>
    <t xml:space="preserve">نسبة الأبعاد</t>
  </si>
  <si>
    <t xml:space="preserve">الفكرة الإخراجية</t>
  </si>
  <si>
    <t xml:space="preserve">البرومبت (EN)</t>
  </si>
  <si>
    <t xml:space="preserve">الترجمة العربية</t>
  </si>
  <si>
    <t xml:space="preserve">الأصل البصري</t>
  </si>
  <si>
    <t xml:space="preserve">1:1</t>
  </si>
  <si>
    <t xml:space="preserve">خلفية كحلي مع شريط برتقالي، فني يركب وحدة داخلية في غرفة معيشة نظيفة، مساحة فارغة على اليسار للشعار</t>
  </si>
  <si>
    <t xml:space="preserve">Editorial photograph of a Sudanese HVAC technician mounting a wall split AC unit in a modern living room, neat copper pipes, soft daylight from a window, 35mm eye-level, shallow depth of field f/2.8, navy and warm orange accents, clean negative space on the left third, no text, no logos, no watermark.</t>
  </si>
  <si>
    <t xml:space="preserve">صورة تحريرية لفني تكييف سوداني يركب وحدة تكييف جدارية في غرفة معيشة حديثة، مواسير نحاس مرتبة، ضوء نهاري ناعم من النافذة، عدسة 35 ملم بزاوية عين، عمق ميداني ضحل f/2.8، ألوان كحلي وبرتقالي دافئ، مساحة فارغة في الثلث الأيسر، بدون نص وبدون شعارات وبدون علامة مائية.</t>
  </si>
  <si>
    <t xml:space="preserve">رسم مسطح لوحدة تكييف مع فقاعات كلام فارغة، ألوان كحلي وبرتقالي</t>
  </si>
  <si>
    <t xml:space="preserve">Flat vector illustration of a split AC unit with four blank speech bubbles around it, minimal style, navy and orange palette, clean negative space on the top, no text, no logos.</t>
  </si>
  <si>
    <t xml:space="preserve">رسم توضيحي مسطح لوحدة تكييف محاطة بأربع فقاعات كلام فارغة، أسلوب بسيط، ألوان كحلي وبرتقالي، مساحة فارغة في الأعلى، بدون نص وبدون شعارات.</t>
  </si>
  <si>
    <t xml:space="preserve">وحدة تكييف داخلية بيضاء على جدار كحلي، إضاءة ناعمة، مساحة فارغة للشعار والنص</t>
  </si>
  <si>
    <t xml:space="preserve">Studio product photograph of a generic white wall split AC unit mounted on a deep navy wall, soft studio lighting, 50mm, shallow depth of field, warm orange accent light, clean negative space on the right third, no visible brand logos, no text, no watermark.</t>
  </si>
  <si>
    <t xml:space="preserve">صورة منتج في استوديو لوحدة تكييف جدارية بيضاء عامة مثبتة على جدار كحلي داكن، إضاءة استوديو ناعمة، عدسة 50 ملم، عمق ميداني ضحل، إضاءة برتقالية دافئة، مساحة فارغة في الثلث الأيمن، بدون شعارات براند وبدون نص وبدون علامة مائية.</t>
  </si>
  <si>
    <t xml:space="preserve">رسم مسطح لغرفة معيشة مع أيقونات للشمس والنافذة والعزل، ألوان كحلي وبرتقالي</t>
  </si>
  <si>
    <t xml:space="preserve">Clean flat infographic-style illustration of a living room with icons for sun, window and wall insulation, navy and orange palette, clean negative space on the right third, no text, no logos.</t>
  </si>
  <si>
    <t xml:space="preserve">رسم توضيحي مسطح بأسلوب إنفوجرافيك لغرفة معيشة مع أيقونات للشمس والنافذة والعزل الحراري، ألوان كحلي وبرتقالي، مساحة فارغة في الثلث الأيمن، بدون نص وبدون شعارات.</t>
  </si>
  <si>
    <t xml:space="preserve">فريق فني بزي العمل الكحلي مع عدة العمل بجانب وحدة خارجية، ضوء نهار طبيعي</t>
  </si>
  <si>
    <t xml:space="preserve">Documentary-style photo of a team of Sudanese HVAC technicians in navy work uniforms with toolkits beside an outdoor condenser unit, natural daylight, 35mm eye-level, f/4, clean negative space on the top, no text, no logos.</t>
  </si>
  <si>
    <t xml:space="preserve">صورة بأسلوب توثيقي لفريق فني تكييف سوداني بزي عمل كحلي مع عدة العمل بجانب وحدة تكبيف خارجية، ضوء نهار طبيعي، عدسة 35 ملم بزاوية عين، f/4، مساحة فارغة في الأعلى، بدون نص وبدون شعارات.</t>
  </si>
  <si>
    <t xml:space="preserve">وحدة تكييف بيضاء في غرفة نوم هادئة، ألوان دافئة مع خلفية كحلي</t>
  </si>
  <si>
    <t xml:space="preserve">Lifestyle photograph of a generic white wall split AC unit in a calm bedroom with warm afternoon light, navy accents, shallow depth of field, clean negative space on the upper left, no visible brand logos, no text, no watermark.</t>
  </si>
  <si>
    <t xml:space="preserve">صورة أسلوب حياة لوحدة تكييف جدارية بيضاء عامة في غرفة نوم هادئة مع ضوء بعد الظهر الدافئ، لمسات كحلية، عمق ميداني ضحل، مساحة فارغة في الأعلى يسار، بدون شعارات براند وبدون نص وبدون علامة مائية.</t>
  </si>
  <si>
    <t xml:space="preserve">لقطة قريبة لكويل مكيف نظيف مقابل كويل مغطى بالأتربة، إضاءة واضحة</t>
  </si>
  <si>
    <t xml:space="preserve">Close-up macro photograph of an AC evaporator coil, half clean with bright aluminum fins and half covered in dust, split composition, soft studio light, clean negative space at the top, no text, no logos.</t>
  </si>
  <si>
    <t xml:space="preserve">لقطة مقربة لكويل مكيف، نصفه نظيف بزعانف ألومنيوم لامعة ونصفه مغطى بالأتربة، تكوين مقسوم، إضاءة استوديو ناعمة، مساحة فارغة في الأعلى، بدون نص وبدون شعارات.</t>
  </si>
  <si>
    <t xml:space="preserve">غرفة معيشة فارغة بجدار فارغ مناسب لتركيب مكيف، إضاءة نهارية</t>
  </si>
  <si>
    <t xml:space="preserve">Empty modern living room with a clean bare wall ideal for AC installation, daylight from a large window, minimal décor, navy and warm orange accents, 35mm eye-level, no text, no logos.</t>
  </si>
  <si>
    <t xml:space="preserve">غرفة معيشة حديثة فارغة بجدار نظيف مناسب لتركيب مكيف، ضوء نهاري من نافذة كبيرة، ديكور بسيط، لمسات كحلية وبرتقالية دافئة، عدسة 35 ملم بزاوية عين، بدون نص وبدون شعارات.</t>
  </si>
  <si>
    <t xml:space="preserve">وحدة تكييف رمادية فاتحة بخط انسيابي على جدار أبيض، إضاءة باردة</t>
  </si>
  <si>
    <t xml:space="preserve">Minimal product photograph of a generic light grey wall split AC unit with sleek lines on a white wall, cool soft studio lighting, 50mm, clean negative space on the left, no visible brand logos, no text, no watermark.</t>
  </si>
  <si>
    <t xml:space="preserve">صورة منتج بسيطة لوحدة تكييف جدارية رمادية فاتحة عامة بخطوط انسيابية على جدار أبيض، إضاءة استوديو باردة وناعمة، عدسة 50 ملم، مساحة فارغة على اليسار، بدون شعارات براند وبدون نص.</t>
  </si>
  <si>
    <t xml:space="preserve">أربع أيقونات مسطحة (صوت، ريحة، قطرات ماء، ترمومتر) على خلفية كحلية</t>
  </si>
  <si>
    <t xml:space="preserve">Flat vector icon set showing four warning signs for an AC unit: a sound wave, a smell cloud, a water drop and a low thermometer, on a deep navy background with orange accents, no text, no logos.</t>
  </si>
  <si>
    <t xml:space="preserve">مجموعة أيقونات مسطحة تعرض أربع علامات تحذير لوحدة تكييف: موجة صوت، سحابة رائحة، قطرة ماء، ومقياس حرارة منخفض، على خلفية كحلية داكنة مع لمسات برتقالية، بدون نص وبدون شعارات.</t>
  </si>
  <si>
    <t xml:space="preserve">ست بطاقات بأيقونات بسيطة للخدمات الست على شبكة منظمة بألوان الهوية</t>
  </si>
  <si>
    <t xml:space="preserve">Clean grid layout of six minimal flat icons representing AC, electrical wiring, generator, solar panel, spare parts and consultancy, navy background with orange highlights, no text, no logos.</t>
  </si>
  <si>
    <t xml:space="preserve">تخطيط شبكي نظيف لستة أيقونات مسطحة بسيطة تمثل التكييف والتمديدات الكهربائية والمولد والألواح الشمسية وقطع الغيار والاستشارات، خلفية كحلية مع لمسات برتقالية، بدون نص وبدون شعارات.</t>
  </si>
  <si>
    <t xml:space="preserve">وحدة تكييف بيضاء في غرفة معيشة مرتبة، ضوء دافئ</t>
  </si>
  <si>
    <t xml:space="preserve">Warm lifestyle photograph of a generic white wall split AC unit above a sofa in a tidy living room, warm evening light, 35mm, shallow depth of field, navy accents, no visible brand logos, no text, no watermark.</t>
  </si>
  <si>
    <t xml:space="preserve">صورة أسلوب حياة دافئة لوحدة تكييف جدارية بيضاء عامة فوق كنبة في غرفة معيشة مرتبة، ضوء مسائي دافئ، عدسة 35 ملم، عمق ميداني ضحل، لمسات كحلية، بدون شعارات براند وبدون نص.</t>
  </si>
  <si>
    <t xml:space="preserve">أيدي تمسك كوب شاي بجانب نافذة مع مكيف في الخلفية، إضاءة دافئة</t>
  </si>
  <si>
    <t xml:space="preserve">Warm candid photograph of hands holding a tea glass by a window, a wall AC unit slightly out of focus in the background, golden hour light, 50mm, clean negative space at the bottom, no text, no logos.</t>
  </si>
  <si>
    <t xml:space="preserve">لقطة عفوية دافئة ليدين تمسكان كوب شاي بجانب نافذة، ووحدة تكييف جدارية خارج التركيز في الخلفية، ضوء الغروب الذهبي، عدسة 50 ملم، مساحة فارغة في الأسفل، بدون نص وبدون شعارات.</t>
  </si>
  <si>
    <t xml:space="preserve">فني يفحص وحدة خارجية بأداة قياس، ضوء نهاري</t>
  </si>
  <si>
    <t xml:space="preserve">Photograph of a Sudanese HVAC technician in a navy uniform checking an outdoor AC condenser with a gauge tool, daylight, 35mm, f/4, clean negative space on the top, no text, no logos.</t>
  </si>
  <si>
    <t xml:space="preserve">صورة لفني تكييف سوداني بزي كحلي يفحص وحدة تكييف خارجية بأداة قياس، ضوء نهاري، عدسة 35 ملم، f/4، مساحة فارغة في الأعلى، بدون نص وبدون شعارات.</t>
  </si>
  <si>
    <t xml:space="preserve">وحدة تكييف بيضاء في صالة مع نافذة مفتوحة على ضوء الصباح</t>
  </si>
  <si>
    <t xml:space="preserve">Bright morning photograph of a generic white wall split AC unit in a living room with an open window and sheer curtains, soft natural light, navy accents, no visible brand logos, no text, no watermark.</t>
  </si>
  <si>
    <t xml:space="preserve">صورة صباحية مشرقة لوحدة تكييف جدارية بيضاء عامة في صالة بنافذة مفتوحة وستائر شفافة، ضوء طبيعي ناعم، لمسات كحلية، بدون شعارات براند وبدون نص وبدون علامة مائية.</t>
  </si>
  <si>
    <t xml:space="preserve">اختبار الخطاف (A/B): أدخل النتائج في الخلايا الصفراء</t>
  </si>
  <si>
    <t xml:space="preserve">الخطاف A</t>
  </si>
  <si>
    <t xml:space="preserve">الخطاف B</t>
  </si>
  <si>
    <t xml:space="preserve">مؤشر المقارنة</t>
  </si>
  <si>
    <t xml:space="preserve">نتيجة A</t>
  </si>
  <si>
    <t xml:space="preserve">نتيجة B</t>
  </si>
  <si>
    <t xml:space="preserve">الفائز</t>
  </si>
  <si>
    <t xml:space="preserve">—</t>
  </si>
  <si>
    <t xml:space="preserve">معدل التفاعل</t>
  </si>
  <si>
    <t xml:space="preserve">موجز التعاون مع المؤثرين</t>
  </si>
  <si>
    <t xml:space="preserve">لا توجد شراكات مؤثرين في هذه الحملة.</t>
  </si>
  <si>
    <t xml:space="preserve">مؤشرات الأداء: أدخل القيمة الفعلية بعد النشر</t>
  </si>
  <si>
    <t xml:space="preserve">المؤشر</t>
  </si>
  <si>
    <t xml:space="preserve">القيمة الفعلية</t>
  </si>
  <si>
    <t xml:space="preserve">نسبة الإنجاز</t>
  </si>
  <si>
    <t xml:space="preserve">ملاحظات</t>
  </si>
  <si>
    <t xml:space="preserve">التعليقات والرسائل المستلمة</t>
  </si>
  <si>
    <t xml:space="preserve">طلبات المعاينة عبر الهاتف والرسائل</t>
  </si>
  <si>
    <t xml:space="preserve">الحفظ والمشاركات</t>
  </si>
  <si>
    <t xml:space="preserve">مواصفات المنصات المعتمدة في الحملة</t>
  </si>
  <si>
    <t xml:space="preserve">الحد الأقصى للنص</t>
  </si>
  <si>
    <t xml:space="preserve">أقصى عدد هاشتاقات</t>
  </si>
  <si>
    <t xml:space="preserve">الخطاف المرئي (حرف)</t>
  </si>
  <si>
    <t xml:space="preserve">الصورة / الفيديو</t>
  </si>
  <si>
    <t xml:space="preserve">حسب المنصة</t>
  </si>
  <si>
    <t xml:space="preserve">أسئلة المتابعين المتوقعة وردودها</t>
  </si>
  <si>
    <t xml:space="preserve">السؤال</t>
  </si>
  <si>
    <t xml:space="preserve">الرد المقترح</t>
  </si>
  <si>
    <t xml:space="preserve">هل المعاينة مجانية؟</t>
  </si>
  <si>
    <t xml:space="preserve">[يتطلب تأكيداً من الإدارة قبل النشر]</t>
  </si>
  <si>
    <t xml:space="preserve">هل تركبون المكيفات التي اشتريتها من مكان آخر؟</t>
  </si>
  <si>
    <t xml:space="preserve">ما هي أسعار المكيفات؟</t>
  </si>
  <si>
    <t xml:space="preserve">الأسعار تحدد بعد المعاينة حسب الموديل والمكان والخدمة المطلوبة. تواصلوا معنا على 0120066904 أو 0120066903.</t>
  </si>
  <si>
    <t xml:space="preserve">نتائج فحص الجودة</t>
  </si>
  <si>
    <t xml:space="preserve">المعرف</t>
  </si>
  <si>
    <t xml:space="preserve">المستوى</t>
  </si>
  <si>
    <t xml:space="preserve">الرسالة</t>
  </si>
  <si>
    <t xml:space="preserve">ممتاز</t>
  </si>
  <si>
    <t xml:space="preserve">لا توجد ملاحظات</t>
  </si>
</sst>
</file>

<file path=xl/styles.xml><?xml version="1.0" encoding="utf-8"?>
<styleSheet xmlns="http://schemas.openxmlformats.org/spreadsheetml/2006/main">
  <numFmts count="5">
    <numFmt numFmtId="164" formatCode="General"/>
    <numFmt numFmtId="165" formatCode="yyyy\-mm\-dd"/>
    <numFmt numFmtId="166" formatCode="0%"/>
    <numFmt numFmtId="167" formatCode="0.0%"/>
    <numFmt numFmtId="168" formatCode="\+0.0%;\-0.0%;0.0%"/>
  </numFmts>
  <fonts count="11">
    <font>
      <sz val="11"/>
      <color theme="1"/>
      <name val="Calibri"/>
      <family val="2"/>
      <charset val="1"/>
    </font>
    <font>
      <sz val="10"/>
      <name val="Arial"/>
      <family val="0"/>
    </font>
    <font>
      <sz val="10"/>
      <name val="Arial"/>
      <family val="0"/>
    </font>
    <font>
      <sz val="10"/>
      <name val="Arial"/>
      <family val="0"/>
    </font>
    <font>
      <b val="true"/>
      <sz val="14"/>
      <color rgb="FF112C46"/>
      <name val="Thmanyah Sans"/>
      <family val="0"/>
      <charset val="1"/>
    </font>
    <font>
      <b val="true"/>
      <sz val="10"/>
      <name val="Thmanyah Sans"/>
      <family val="0"/>
      <charset val="1"/>
    </font>
    <font>
      <sz val="10"/>
      <name val="Thmanyah Sans"/>
      <family val="0"/>
      <charset val="1"/>
    </font>
    <font>
      <b val="true"/>
      <sz val="12"/>
      <name val="Thmanyah Sans"/>
      <family val="0"/>
      <charset val="1"/>
    </font>
    <font>
      <b val="true"/>
      <sz val="10"/>
      <color rgb="FFFFFFFF"/>
      <name val="Thmanyah Sans"/>
      <family val="0"/>
      <charset val="1"/>
    </font>
    <font>
      <b val="true"/>
      <sz val="18"/>
      <color rgb="FF000000"/>
      <name val="FreeSans"/>
      <family val="2"/>
    </font>
    <font>
      <sz val="10"/>
      <color rgb="FF000000"/>
      <name val="Calibri"/>
      <family val="2"/>
    </font>
  </fonts>
  <fills count="5">
    <fill>
      <patternFill patternType="none"/>
    </fill>
    <fill>
      <patternFill patternType="gray125"/>
    </fill>
    <fill>
      <patternFill patternType="solid">
        <fgColor rgb="FF112C46"/>
        <bgColor rgb="FF333333"/>
      </patternFill>
    </fill>
    <fill>
      <patternFill patternType="solid">
        <fgColor rgb="FFF3F6F9"/>
        <bgColor rgb="FFF9F9F9"/>
      </patternFill>
    </fill>
    <fill>
      <patternFill patternType="solid">
        <fgColor rgb="FFFFF4CC"/>
        <bgColor rgb="FFF9F9F9"/>
      </patternFill>
    </fill>
  </fills>
  <borders count="2">
    <border diagonalUp="false" diagonalDown="false">
      <left/>
      <right/>
      <top/>
      <bottom/>
      <diagonal/>
    </border>
    <border diagonalUp="false" diagonalDown="false">
      <left style="thin">
        <color rgb="FFB7C4CE"/>
      </left>
      <right style="thin">
        <color rgb="FFB7C4CE"/>
      </right>
      <top style="thin">
        <color rgb="FFB7C4CE"/>
      </top>
      <bottom style="thin">
        <color rgb="FFB7C4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6" fontId="5" fillId="3" borderId="1" xfId="0" applyFont="true" applyBorder="true" applyAlignment="true" applyProtection="false">
      <alignment horizontal="general" vertical="bottom" textRotation="0" wrapText="false" indent="0" shrinkToFit="false"/>
      <protection locked="true" hidden="false"/>
    </xf>
    <xf numFmtId="167" fontId="5" fillId="3"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right" vertical="top" textRotation="0" wrapText="true" indent="0" shrinkToFit="false"/>
      <protection locked="true" hidden="false"/>
    </xf>
    <xf numFmtId="165" fontId="6" fillId="0" borderId="1" xfId="0" applyFont="true" applyBorder="true" applyAlignment="true" applyProtection="false">
      <alignment horizontal="right" vertical="top" textRotation="0" wrapText="true" indent="0" shrinkToFit="false"/>
      <protection locked="true" hidden="false"/>
    </xf>
    <xf numFmtId="164" fontId="6" fillId="4" borderId="1" xfId="0" applyFont="true" applyBorder="true" applyAlignment="true" applyProtection="false">
      <alignment horizontal="right" vertical="top" textRotation="0" wrapText="true" indent="0" shrinkToFit="false"/>
      <protection locked="true" hidden="false"/>
    </xf>
    <xf numFmtId="167" fontId="6" fillId="0" borderId="1" xfId="0" applyFont="true" applyBorder="tru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12C4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4CE"/>
      <rgbColor rgb="FF878787"/>
      <rgbColor rgb="FF9999FF"/>
      <rgbColor rgb="FF993366"/>
      <rgbColor rgb="FFFFF4CC"/>
      <rgbColor rgb="FFF3F6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12C4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عدد المنشورات حسب الركيزة</a:t>
            </a:r>
          </a:p>
        </c:rich>
      </c:tx>
      <c:overlay val="0"/>
      <c:spPr>
        <a:noFill/>
        <a:ln w="0">
          <a:noFill/>
        </a:ln>
      </c:spPr>
    </c:title>
    <c:autoTitleDeleted val="0"/>
    <c:plotArea>
      <c:barChart>
        <c:barDir val="bar"/>
        <c:grouping val="clustered"/>
        <c:varyColors val="0"/>
        <c:ser>
          <c:idx val="0"/>
          <c:order val="0"/>
          <c:tx>
            <c:strRef>
              <c:f>'لوحة المؤشرات'!C14</c:f>
              <c:strCache>
                <c:ptCount val="1"/>
                <c:pt idx="0">
                  <c:v>العدد الفعلي</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المؤشرات'!$A$15:$A$18</c:f>
              <c:strCache>
                <c:ptCount val="4"/>
                <c:pt idx="0">
                  <c:v>تعليمي وقيمة</c:v>
                </c:pt>
                <c:pt idx="1">
                  <c:v>تفاعلي ومجتمعي</c:v>
                </c:pt>
                <c:pt idx="2">
                  <c:v>ثقة وأدلة اجتماعية</c:v>
                </c:pt>
                <c:pt idx="3">
                  <c:v>ترويجي مباشر</c:v>
                </c:pt>
              </c:strCache>
            </c:strRef>
          </c:cat>
          <c:val>
            <c:numRef>
              <c:f>'لوحة المؤشرات'!$C$15:$C$18</c:f>
              <c:numCache>
                <c:formatCode>General</c:formatCode>
                <c:ptCount val="4"/>
                <c:pt idx="0">
                  <c:v>4</c:v>
                </c:pt>
                <c:pt idx="1">
                  <c:v>3</c:v>
                </c:pt>
                <c:pt idx="2">
                  <c:v>3</c:v>
                </c:pt>
                <c:pt idx="3">
                  <c:v>5</c:v>
                </c:pt>
              </c:numCache>
            </c:numRef>
          </c:val>
        </c:ser>
        <c:gapWidth val="150"/>
        <c:overlap val="0"/>
        <c:axId val="50753977"/>
        <c:axId val="35743984"/>
      </c:barChart>
      <c:catAx>
        <c:axId val="5075397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743984"/>
        <c:crosses val="autoZero"/>
        <c:auto val="1"/>
        <c:lblAlgn val="ctr"/>
        <c:lblOffset val="100"/>
        <c:noMultiLvlLbl val="0"/>
      </c:catAx>
      <c:valAx>
        <c:axId val="35743984"/>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75397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1.png"/>
</Relationships>
</file>

<file path=xl/drawings/_rels/drawing10.xml.rels><?xml version="1.0" encoding="UTF-8"?>
<Relationships xmlns="http://schemas.openxmlformats.org/package/2006/relationships"><Relationship Id="rId1" Type="http://schemas.openxmlformats.org/officeDocument/2006/relationships/image" Target="../media/image1.png"/>
</Relationships>
</file>

<file path=xl/drawings/_rels/drawing1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-267120</xdr:colOff>
      <xdr:row>13</xdr:row>
      <xdr:rowOff>0</xdr:rowOff>
    </xdr:from>
    <xdr:to>
      <xdr:col>11</xdr:col>
      <xdr:colOff>-375480</xdr:colOff>
      <xdr:row>26</xdr:row>
      <xdr:rowOff>42480</xdr:rowOff>
    </xdr:to>
    <xdr:graphicFrame>
      <xdr:nvGraphicFramePr>
        <xdr:cNvPr id="0" name="Chart 1"/>
        <xdr:cNvGraphicFramePr/>
      </xdr:nvGraphicFramePr>
      <xdr:xfrm>
        <a:off x="-10630440" y="2638440"/>
        <a:ext cx="5038920" cy="251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-29880</xdr:colOff>
      <xdr:row>0</xdr:row>
      <xdr:rowOff>0</xdr:rowOff>
    </xdr:from>
    <xdr:to>
      <xdr:col>8</xdr:col>
      <xdr:colOff>0</xdr:colOff>
      <xdr:row>4</xdr:row>
      <xdr:rowOff>123480</xdr:rowOff>
    </xdr:to>
    <xdr:pic>
      <xdr:nvPicPr>
        <xdr:cNvPr id="1" name="Image 2" descr="Picture"/>
        <xdr:cNvPicPr/>
      </xdr:nvPicPr>
      <xdr:blipFill>
        <a:blip r:embed="rId2"/>
        <a:stretch/>
      </xdr:blipFill>
      <xdr:spPr>
        <a:xfrm>
          <a:off x="-8558640" y="0"/>
          <a:ext cx="875880" cy="1047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-264600</xdr:colOff>
      <xdr:row>0</xdr:row>
      <xdr:rowOff>0</xdr:rowOff>
    </xdr:from>
    <xdr:to>
      <xdr:col>12</xdr:col>
      <xdr:colOff>0</xdr:colOff>
      <xdr:row>4</xdr:row>
      <xdr:rowOff>123480</xdr:rowOff>
    </xdr:to>
    <xdr:pic>
      <xdr:nvPicPr>
        <xdr:cNvPr id="2" name="Image 1" descr="Picture"/>
        <xdr:cNvPicPr/>
      </xdr:nvPicPr>
      <xdr:blipFill>
        <a:blip r:embed="rId1"/>
        <a:stretch/>
      </xdr:blipFill>
      <xdr:spPr>
        <a:xfrm>
          <a:off x="-14668200" y="0"/>
          <a:ext cx="875880" cy="10472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-264240</xdr:colOff>
      <xdr:row>0</xdr:row>
      <xdr:rowOff>0</xdr:rowOff>
    </xdr:from>
    <xdr:to>
      <xdr:col>11</xdr:col>
      <xdr:colOff>0</xdr:colOff>
      <xdr:row>2</xdr:row>
      <xdr:rowOff>504360</xdr:rowOff>
    </xdr:to>
    <xdr:pic>
      <xdr:nvPicPr>
        <xdr:cNvPr id="3" name="Image 1" descr="Picture"/>
        <xdr:cNvPicPr/>
      </xdr:nvPicPr>
      <xdr:blipFill>
        <a:blip r:embed="rId1"/>
        <a:stretch/>
      </xdr:blipFill>
      <xdr:spPr>
        <a:xfrm>
          <a:off x="-17205480" y="0"/>
          <a:ext cx="875880" cy="10472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-264240</xdr:colOff>
      <xdr:row>0</xdr:row>
      <xdr:rowOff>0</xdr:rowOff>
    </xdr:from>
    <xdr:to>
      <xdr:col>12</xdr:col>
      <xdr:colOff>0</xdr:colOff>
      <xdr:row>4</xdr:row>
      <xdr:rowOff>56520</xdr:rowOff>
    </xdr:to>
    <xdr:pic>
      <xdr:nvPicPr>
        <xdr:cNvPr id="4" name="Image 1" descr="Picture"/>
        <xdr:cNvPicPr/>
      </xdr:nvPicPr>
      <xdr:blipFill>
        <a:blip r:embed="rId1"/>
        <a:stretch/>
      </xdr:blipFill>
      <xdr:spPr>
        <a:xfrm>
          <a:off x="-14104080" y="0"/>
          <a:ext cx="875880" cy="1047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-264600</xdr:colOff>
      <xdr:row>0</xdr:row>
      <xdr:rowOff>0</xdr:rowOff>
    </xdr:from>
    <xdr:to>
      <xdr:col>9</xdr:col>
      <xdr:colOff>0</xdr:colOff>
      <xdr:row>2</xdr:row>
      <xdr:rowOff>504360</xdr:rowOff>
    </xdr:to>
    <xdr:pic>
      <xdr:nvPicPr>
        <xdr:cNvPr id="5" name="Image 1" descr="Picture"/>
        <xdr:cNvPicPr/>
      </xdr:nvPicPr>
      <xdr:blipFill>
        <a:blip r:embed="rId1"/>
        <a:stretch/>
      </xdr:blipFill>
      <xdr:spPr>
        <a:xfrm>
          <a:off x="-16641720" y="0"/>
          <a:ext cx="875880" cy="104724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-264600</xdr:colOff>
      <xdr:row>0</xdr:row>
      <xdr:rowOff>0</xdr:rowOff>
    </xdr:from>
    <xdr:to>
      <xdr:col>10</xdr:col>
      <xdr:colOff>0</xdr:colOff>
      <xdr:row>4</xdr:row>
      <xdr:rowOff>123480</xdr:rowOff>
    </xdr:to>
    <xdr:pic>
      <xdr:nvPicPr>
        <xdr:cNvPr id="6" name="Image 1" descr="Picture"/>
        <xdr:cNvPicPr/>
      </xdr:nvPicPr>
      <xdr:blipFill>
        <a:blip r:embed="rId1"/>
        <a:stretch/>
      </xdr:blipFill>
      <xdr:spPr>
        <a:xfrm>
          <a:off x="-12976560" y="0"/>
          <a:ext cx="875880" cy="10472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-264240</xdr:colOff>
      <xdr:row>0</xdr:row>
      <xdr:rowOff>0</xdr:rowOff>
    </xdr:from>
    <xdr:to>
      <xdr:col>4</xdr:col>
      <xdr:colOff>0</xdr:colOff>
      <xdr:row>4</xdr:row>
      <xdr:rowOff>123480</xdr:rowOff>
    </xdr:to>
    <xdr:pic>
      <xdr:nvPicPr>
        <xdr:cNvPr id="7" name="Image 1" descr="Picture"/>
        <xdr:cNvPicPr/>
      </xdr:nvPicPr>
      <xdr:blipFill>
        <a:blip r:embed="rId1"/>
        <a:stretch/>
      </xdr:blipFill>
      <xdr:spPr>
        <a:xfrm>
          <a:off x="-8817840" y="0"/>
          <a:ext cx="875880" cy="10472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-264240</xdr:colOff>
      <xdr:row>0</xdr:row>
      <xdr:rowOff>0</xdr:rowOff>
    </xdr:from>
    <xdr:to>
      <xdr:col>8</xdr:col>
      <xdr:colOff>0</xdr:colOff>
      <xdr:row>4</xdr:row>
      <xdr:rowOff>123480</xdr:rowOff>
    </xdr:to>
    <xdr:pic>
      <xdr:nvPicPr>
        <xdr:cNvPr id="8" name="Image 1" descr="Picture"/>
        <xdr:cNvPicPr/>
      </xdr:nvPicPr>
      <xdr:blipFill>
        <a:blip r:embed="rId1"/>
        <a:stretch/>
      </xdr:blipFill>
      <xdr:spPr>
        <a:xfrm>
          <a:off x="-10086480" y="0"/>
          <a:ext cx="875880" cy="10472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-264600</xdr:colOff>
      <xdr:row>0</xdr:row>
      <xdr:rowOff>0</xdr:rowOff>
    </xdr:from>
    <xdr:to>
      <xdr:col>8</xdr:col>
      <xdr:colOff>0</xdr:colOff>
      <xdr:row>4</xdr:row>
      <xdr:rowOff>123480</xdr:rowOff>
    </xdr:to>
    <xdr:pic>
      <xdr:nvPicPr>
        <xdr:cNvPr id="9" name="Image 1" descr="Picture"/>
        <xdr:cNvPicPr/>
      </xdr:nvPicPr>
      <xdr:blipFill>
        <a:blip r:embed="rId1"/>
        <a:stretch/>
      </xdr:blipFill>
      <xdr:spPr>
        <a:xfrm>
          <a:off x="-10650600" y="0"/>
          <a:ext cx="875880" cy="10472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-264600</xdr:colOff>
      <xdr:row>0</xdr:row>
      <xdr:rowOff>0</xdr:rowOff>
    </xdr:from>
    <xdr:to>
      <xdr:col>4</xdr:col>
      <xdr:colOff>0</xdr:colOff>
      <xdr:row>4</xdr:row>
      <xdr:rowOff>123480</xdr:rowOff>
    </xdr:to>
    <xdr:pic>
      <xdr:nvPicPr>
        <xdr:cNvPr id="10" name="Image 1" descr="Picture"/>
        <xdr:cNvPicPr/>
      </xdr:nvPicPr>
      <xdr:blipFill>
        <a:blip r:embed="rId1"/>
        <a:stretch/>
      </xdr:blipFill>
      <xdr:spPr>
        <a:xfrm>
          <a:off x="-10227600" y="0"/>
          <a:ext cx="875880" cy="104724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-264240</xdr:colOff>
      <xdr:row>0</xdr:row>
      <xdr:rowOff>0</xdr:rowOff>
    </xdr:from>
    <xdr:to>
      <xdr:col>6</xdr:col>
      <xdr:colOff>0</xdr:colOff>
      <xdr:row>4</xdr:row>
      <xdr:rowOff>123480</xdr:rowOff>
    </xdr:to>
    <xdr:pic>
      <xdr:nvPicPr>
        <xdr:cNvPr id="11" name="Image 1" descr="Picture"/>
        <xdr:cNvPicPr/>
      </xdr:nvPicPr>
      <xdr:blipFill>
        <a:blip r:embed="rId1"/>
        <a:stretch/>
      </xdr:blipFill>
      <xdr:spPr>
        <a:xfrm>
          <a:off x="-9663480" y="0"/>
          <a:ext cx="875880" cy="1047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4" min="2" style="1" width="16"/>
    <col collapsed="false" customWidth="true" hidden="false" outlineLevel="0" max="5" min="5" style="1" width="14"/>
    <col collapsed="false" customWidth="true" hidden="false" outlineLevel="0" max="6" min="6" style="1" width="18"/>
    <col collapsed="false" customWidth="true" hidden="false" outlineLevel="0" max="7" min="7" style="1" width="3"/>
    <col collapsed="false" customWidth="true" hidden="false" outlineLevel="0" max="8" min="8" style="1" width="12"/>
  </cols>
  <sheetData>
    <row r="1" customFormat="false" ht="27.75" hidden="false" customHeight="true" outlineLevel="0" collapsed="false">
      <c r="A1" s="2" t="s">
        <v>0</v>
      </c>
      <c r="B1" s="2"/>
      <c r="C1" s="2"/>
      <c r="D1" s="2"/>
      <c r="E1" s="2"/>
      <c r="F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5" t="n">
        <v>46327</v>
      </c>
    </row>
    <row r="9" customFormat="false" ht="15" hidden="false" customHeight="true" outlineLevel="0" collapsed="false">
      <c r="A9" s="3" t="s">
        <v>12</v>
      </c>
      <c r="B9" s="5" t="n">
        <v>46341</v>
      </c>
    </row>
    <row r="10" customFormat="false" ht="15" hidden="false" customHeight="true" outlineLevel="0" collapsed="false">
      <c r="A10" s="3" t="s">
        <v>13</v>
      </c>
      <c r="B10" s="4" t="n">
        <v>15</v>
      </c>
    </row>
    <row r="11" customFormat="false" ht="15" hidden="false" customHeight="true" outlineLevel="0" collapsed="false">
      <c r="A11" s="3" t="s">
        <v>14</v>
      </c>
      <c r="B11" s="4" t="s">
        <v>15</v>
      </c>
    </row>
    <row r="13" customFormat="false" ht="15" hidden="false" customHeight="true" outlineLevel="0" collapsed="false">
      <c r="A13" s="6" t="s">
        <v>16</v>
      </c>
    </row>
    <row r="14" customFormat="false" ht="15" hidden="false" customHeight="true" outlineLevel="0" collapsed="false">
      <c r="A14" s="7" t="s">
        <v>17</v>
      </c>
      <c r="B14" s="7" t="s">
        <v>18</v>
      </c>
      <c r="C14" s="7" t="s">
        <v>19</v>
      </c>
      <c r="D14" s="7" t="s">
        <v>20</v>
      </c>
      <c r="E14" s="7" t="s">
        <v>21</v>
      </c>
      <c r="F14" s="7" t="s">
        <v>22</v>
      </c>
    </row>
    <row r="15" customFormat="false" ht="15" hidden="false" customHeight="true" outlineLevel="0" collapsed="false">
      <c r="A15" s="8" t="s">
        <v>23</v>
      </c>
      <c r="B15" s="9" t="n">
        <v>0.3</v>
      </c>
      <c r="C15" s="8" t="n">
        <f aca="false">COUNTIF(التقويم!$E$3:$E$17,A15)</f>
        <v>4</v>
      </c>
      <c r="D15" s="10" t="n">
        <f aca="false">IF($C$19=0,0,C15/$C$19)</f>
        <v>0.266666666666667</v>
      </c>
      <c r="E15" s="11" t="n">
        <f aca="false">D15-B15</f>
        <v>-0.0333333333333333</v>
      </c>
      <c r="F15" s="8" t="str">
        <f aca="false">IF(ABS(E15)&gt;0.05,"خارج النطاق","ضمن النطاق")</f>
        <v>ضمن النطاق</v>
      </c>
    </row>
    <row r="16" customFormat="false" ht="15" hidden="false" customHeight="true" outlineLevel="0" collapsed="false">
      <c r="A16" s="8" t="s">
        <v>24</v>
      </c>
      <c r="B16" s="9" t="n">
        <v>0.2</v>
      </c>
      <c r="C16" s="8" t="n">
        <f aca="false">COUNTIF(التقويم!$E$3:$E$17,A16)</f>
        <v>3</v>
      </c>
      <c r="D16" s="10" t="n">
        <f aca="false">IF($C$19=0,0,C16/$C$19)</f>
        <v>0.2</v>
      </c>
      <c r="E16" s="11" t="n">
        <f aca="false">D16-B16</f>
        <v>0</v>
      </c>
      <c r="F16" s="8" t="str">
        <f aca="false">IF(ABS(E16)&gt;0.05,"خارج النطاق","ضمن النطاق")</f>
        <v>ضمن النطاق</v>
      </c>
    </row>
    <row r="17" customFormat="false" ht="15" hidden="false" customHeight="true" outlineLevel="0" collapsed="false">
      <c r="A17" s="8" t="s">
        <v>25</v>
      </c>
      <c r="B17" s="9" t="n">
        <v>0.2</v>
      </c>
      <c r="C17" s="8" t="n">
        <f aca="false">COUNTIF(التقويم!$E$3:$E$17,A17)</f>
        <v>3</v>
      </c>
      <c r="D17" s="10" t="n">
        <f aca="false">IF($C$19=0,0,C17/$C$19)</f>
        <v>0.2</v>
      </c>
      <c r="E17" s="11" t="n">
        <f aca="false">D17-B17</f>
        <v>0</v>
      </c>
      <c r="F17" s="8" t="str">
        <f aca="false">IF(ABS(E17)&gt;0.05,"خارج النطاق","ضمن النطاق")</f>
        <v>ضمن النطاق</v>
      </c>
    </row>
    <row r="18" customFormat="false" ht="15" hidden="false" customHeight="true" outlineLevel="0" collapsed="false">
      <c r="A18" s="8" t="s">
        <v>26</v>
      </c>
      <c r="B18" s="9" t="n">
        <v>0.3</v>
      </c>
      <c r="C18" s="8" t="n">
        <f aca="false">COUNTIF(التقويم!$E$3:$E$17,A18)</f>
        <v>5</v>
      </c>
      <c r="D18" s="10" t="n">
        <f aca="false">IF($C$19=0,0,C18/$C$19)</f>
        <v>0.333333333333333</v>
      </c>
      <c r="E18" s="11" t="n">
        <f aca="false">D18-B18</f>
        <v>0.0333333333333333</v>
      </c>
      <c r="F18" s="8" t="str">
        <f aca="false">IF(ABS(E18)&gt;0.05,"خارج النطاق","ضمن النطاق")</f>
        <v>ضمن النطاق</v>
      </c>
    </row>
    <row r="19" customFormat="false" ht="15" hidden="false" customHeight="true" outlineLevel="0" collapsed="false">
      <c r="A19" s="12" t="s">
        <v>27</v>
      </c>
      <c r="B19" s="13" t="n">
        <f aca="false">SUM(B15:B18)</f>
        <v>1</v>
      </c>
      <c r="C19" s="12" t="n">
        <f aca="false">SUM(C15:C18)</f>
        <v>15</v>
      </c>
      <c r="D19" s="14" t="n">
        <f aca="false">SUM(D15:D18)</f>
        <v>1</v>
      </c>
      <c r="E19" s="12"/>
      <c r="F19" s="12"/>
    </row>
    <row r="21" customFormat="false" ht="15" hidden="false" customHeight="true" outlineLevel="0" collapsed="false">
      <c r="A21" s="6" t="s">
        <v>14</v>
      </c>
    </row>
    <row r="22" customFormat="false" ht="15" hidden="false" customHeight="true" outlineLevel="0" collapsed="false">
      <c r="A22" s="7" t="s">
        <v>28</v>
      </c>
      <c r="B22" s="7" t="s">
        <v>29</v>
      </c>
      <c r="C22" s="7" t="s">
        <v>30</v>
      </c>
    </row>
    <row r="23" customFormat="false" ht="15" hidden="false" customHeight="true" outlineLevel="0" collapsed="false">
      <c r="A23" s="8" t="s">
        <v>15</v>
      </c>
      <c r="B23" s="8" t="n">
        <f aca="false">COUNTIF(التقويم!$D$3:$D$17,A23)</f>
        <v>15</v>
      </c>
      <c r="C23" s="10" t="n">
        <f aca="false">IF($C$19=0,0,B23/$C$19)</f>
        <v>1</v>
      </c>
    </row>
    <row r="25" customFormat="false" ht="15" hidden="false" customHeight="true" outlineLevel="0" collapsed="false">
      <c r="A25" s="6" t="s">
        <v>31</v>
      </c>
    </row>
    <row r="26" customFormat="false" ht="15" hidden="false" customHeight="true" outlineLevel="0" collapsed="false">
      <c r="A26" s="7" t="s">
        <v>22</v>
      </c>
      <c r="B26" s="7" t="s">
        <v>32</v>
      </c>
    </row>
    <row r="27" customFormat="false" ht="15" hidden="false" customHeight="true" outlineLevel="0" collapsed="false">
      <c r="A27" s="8" t="s">
        <v>33</v>
      </c>
      <c r="B27" s="8" t="n">
        <f aca="false">COUNTIF(التقويم!$I$3:$I$17,A27)</f>
        <v>15</v>
      </c>
    </row>
    <row r="28" customFormat="false" ht="15" hidden="false" customHeight="true" outlineLevel="0" collapsed="false">
      <c r="A28" s="8" t="s">
        <v>34</v>
      </c>
      <c r="B28" s="8" t="n">
        <f aca="false">COUNTIF(التقويم!$I$3:$I$17,A28)</f>
        <v>0</v>
      </c>
    </row>
    <row r="29" customFormat="false" ht="15" hidden="false" customHeight="true" outlineLevel="0" collapsed="false">
      <c r="A29" s="8" t="s">
        <v>35</v>
      </c>
      <c r="B29" s="8" t="n">
        <f aca="false">COUNTIF(التقويم!$I$3:$I$17,A29)</f>
        <v>0</v>
      </c>
    </row>
    <row r="30" customFormat="false" ht="15" hidden="false" customHeight="true" outlineLevel="0" collapsed="false">
      <c r="A30" s="8" t="s">
        <v>36</v>
      </c>
      <c r="B30" s="8" t="n">
        <f aca="false">COUNTIF(التقويم!$I$3:$I$17,A30)</f>
        <v>0</v>
      </c>
    </row>
    <row r="32" customFormat="false" ht="15" hidden="false" customHeight="true" outlineLevel="0" collapsed="false">
      <c r="A32" s="6" t="s">
        <v>37</v>
      </c>
    </row>
    <row r="33" customFormat="false" ht="15" hidden="false" customHeight="true" outlineLevel="0" collapsed="false">
      <c r="A33" s="3" t="s">
        <v>38</v>
      </c>
      <c r="B33" s="4" t="n">
        <f aca="false">COUNTA(التقويم!$A$3:$A$17)</f>
        <v>15</v>
      </c>
    </row>
    <row r="34" customFormat="false" ht="15" hidden="false" customHeight="true" outlineLevel="0" collapsed="false">
      <c r="A34" s="3" t="s">
        <v>39</v>
      </c>
      <c r="B34" s="4" t="n">
        <f aca="false">COUNTIF(الفحص!$C$2:$C$2,"خطأ")</f>
        <v>0</v>
      </c>
    </row>
    <row r="35" customFormat="false" ht="15" hidden="false" customHeight="true" outlineLevel="0" collapsed="false">
      <c r="A35" s="3" t="s">
        <v>40</v>
      </c>
      <c r="B35" s="4" t="n">
        <f aca="false">COUNTIF(الفحص!$C$2:$C$2,"تحذير")</f>
        <v>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3"/>
    <col collapsed="false" customWidth="true" hidden="false" outlineLevel="0" max="3" min="3" style="1" width="11"/>
    <col collapsed="false" customWidth="true" hidden="false" outlineLevel="0" max="4" min="4" style="1" width="12"/>
    <col collapsed="false" customWidth="true" hidden="false" outlineLevel="0" max="5" min="5" style="1" width="18"/>
    <col collapsed="false" customWidth="true" hidden="false" outlineLevel="0" max="6" min="6" style="1" width="48"/>
    <col collapsed="false" customWidth="true" hidden="false" outlineLevel="0" max="7" min="7" style="1" width="16"/>
    <col collapsed="false" customWidth="true" hidden="false" outlineLevel="0" max="8" min="8" style="1" width="22"/>
    <col collapsed="false" customWidth="true" hidden="false" outlineLevel="0" max="9" min="9" style="1" width="16"/>
    <col collapsed="false" customWidth="true" hidden="false" outlineLevel="0" max="10" min="10" style="1" width="22"/>
  </cols>
  <sheetData>
    <row r="1" customFormat="false" ht="27.75" hidden="false" customHeight="true" outlineLevel="0" collapsed="false">
      <c r="A1" s="2" t="s">
        <v>41</v>
      </c>
      <c r="B1" s="2"/>
      <c r="C1" s="2"/>
      <c r="D1" s="2"/>
      <c r="E1" s="2"/>
      <c r="F1" s="2"/>
      <c r="G1" s="2"/>
      <c r="H1" s="2"/>
      <c r="I1" s="2"/>
      <c r="J1" s="2"/>
    </row>
    <row r="2" customFormat="false" ht="15" hidden="false" customHeight="true" outlineLevel="0" collapsed="false">
      <c r="A2" s="7" t="s">
        <v>42</v>
      </c>
      <c r="B2" s="7" t="s">
        <v>43</v>
      </c>
      <c r="C2" s="7" t="s">
        <v>44</v>
      </c>
      <c r="D2" s="7" t="s">
        <v>28</v>
      </c>
      <c r="E2" s="7" t="s">
        <v>17</v>
      </c>
      <c r="F2" s="7" t="s">
        <v>45</v>
      </c>
      <c r="G2" s="7" t="s">
        <v>46</v>
      </c>
      <c r="H2" s="7" t="s">
        <v>47</v>
      </c>
      <c r="I2" s="7" t="s">
        <v>22</v>
      </c>
      <c r="J2" s="7" t="s">
        <v>1</v>
      </c>
    </row>
    <row r="3" customFormat="false" ht="15" hidden="false" customHeight="true" outlineLevel="0" collapsed="false">
      <c r="A3" s="15" t="s">
        <v>48</v>
      </c>
      <c r="B3" s="16" t="n">
        <v>46327</v>
      </c>
      <c r="C3" s="15" t="s">
        <v>49</v>
      </c>
      <c r="D3" s="15" t="s">
        <v>15</v>
      </c>
      <c r="E3" s="15" t="s">
        <v>23</v>
      </c>
      <c r="F3" s="15" t="s">
        <v>50</v>
      </c>
      <c r="G3" s="15" t="s">
        <v>51</v>
      </c>
      <c r="H3" s="15" t="s">
        <v>52</v>
      </c>
      <c r="I3" s="15" t="s">
        <v>33</v>
      </c>
      <c r="J3" s="15" t="s">
        <v>2</v>
      </c>
    </row>
    <row r="4" customFormat="false" ht="15" hidden="false" customHeight="true" outlineLevel="0" collapsed="false">
      <c r="A4" s="15" t="s">
        <v>53</v>
      </c>
      <c r="B4" s="16" t="n">
        <v>46328</v>
      </c>
      <c r="C4" s="15" t="s">
        <v>54</v>
      </c>
      <c r="D4" s="15" t="s">
        <v>15</v>
      </c>
      <c r="E4" s="15" t="s">
        <v>24</v>
      </c>
      <c r="F4" s="15" t="s">
        <v>55</v>
      </c>
      <c r="G4" s="15" t="s">
        <v>56</v>
      </c>
      <c r="H4" s="15" t="s">
        <v>57</v>
      </c>
      <c r="I4" s="15" t="s">
        <v>33</v>
      </c>
      <c r="J4" s="15" t="s">
        <v>58</v>
      </c>
    </row>
    <row r="5" customFormat="false" ht="20.25" hidden="false" customHeight="true" outlineLevel="0" collapsed="false">
      <c r="A5" s="15" t="s">
        <v>59</v>
      </c>
      <c r="B5" s="16" t="n">
        <v>46329</v>
      </c>
      <c r="C5" s="15" t="s">
        <v>60</v>
      </c>
      <c r="D5" s="15" t="s">
        <v>15</v>
      </c>
      <c r="E5" s="15" t="s">
        <v>26</v>
      </c>
      <c r="F5" s="15" t="s">
        <v>61</v>
      </c>
      <c r="G5" s="15" t="s">
        <v>62</v>
      </c>
      <c r="H5" s="15" t="s">
        <v>63</v>
      </c>
      <c r="I5" s="15" t="s">
        <v>33</v>
      </c>
      <c r="J5" s="15" t="s">
        <v>2</v>
      </c>
    </row>
    <row r="6" customFormat="false" ht="15" hidden="false" customHeight="true" outlineLevel="0" collapsed="false">
      <c r="A6" s="15" t="s">
        <v>64</v>
      </c>
      <c r="B6" s="16" t="n">
        <v>46330</v>
      </c>
      <c r="C6" s="15" t="s">
        <v>65</v>
      </c>
      <c r="D6" s="15" t="s">
        <v>15</v>
      </c>
      <c r="E6" s="15" t="s">
        <v>23</v>
      </c>
      <c r="F6" s="15" t="s">
        <v>66</v>
      </c>
      <c r="G6" s="15" t="s">
        <v>67</v>
      </c>
      <c r="H6" s="15" t="s">
        <v>68</v>
      </c>
      <c r="I6" s="15" t="s">
        <v>33</v>
      </c>
      <c r="J6" s="15" t="s">
        <v>58</v>
      </c>
    </row>
    <row r="7" customFormat="false" ht="20.25" hidden="false" customHeight="true" outlineLevel="0" collapsed="false">
      <c r="A7" s="15" t="s">
        <v>69</v>
      </c>
      <c r="B7" s="16" t="n">
        <v>46331</v>
      </c>
      <c r="C7" s="15" t="s">
        <v>70</v>
      </c>
      <c r="D7" s="15" t="s">
        <v>15</v>
      </c>
      <c r="E7" s="15" t="s">
        <v>25</v>
      </c>
      <c r="F7" s="15" t="s">
        <v>71</v>
      </c>
      <c r="G7" s="15" t="s">
        <v>72</v>
      </c>
      <c r="H7" s="15" t="s">
        <v>73</v>
      </c>
      <c r="I7" s="15" t="s">
        <v>33</v>
      </c>
      <c r="J7" s="15" t="s">
        <v>74</v>
      </c>
    </row>
    <row r="8" customFormat="false" ht="20.25" hidden="false" customHeight="true" outlineLevel="0" collapsed="false">
      <c r="A8" s="15" t="s">
        <v>75</v>
      </c>
      <c r="B8" s="16" t="n">
        <v>46332</v>
      </c>
      <c r="C8" s="15" t="s">
        <v>76</v>
      </c>
      <c r="D8" s="15" t="s">
        <v>15</v>
      </c>
      <c r="E8" s="15" t="s">
        <v>26</v>
      </c>
      <c r="F8" s="15" t="s">
        <v>77</v>
      </c>
      <c r="G8" s="15" t="s">
        <v>62</v>
      </c>
      <c r="H8" s="15" t="s">
        <v>63</v>
      </c>
      <c r="I8" s="15" t="s">
        <v>33</v>
      </c>
      <c r="J8" s="15" t="s">
        <v>2</v>
      </c>
    </row>
    <row r="9" customFormat="false" ht="15" hidden="false" customHeight="true" outlineLevel="0" collapsed="false">
      <c r="A9" s="15" t="s">
        <v>78</v>
      </c>
      <c r="B9" s="16" t="n">
        <v>46333</v>
      </c>
      <c r="C9" s="15" t="s">
        <v>79</v>
      </c>
      <c r="D9" s="15" t="s">
        <v>15</v>
      </c>
      <c r="E9" s="15" t="s">
        <v>23</v>
      </c>
      <c r="F9" s="15" t="s">
        <v>80</v>
      </c>
      <c r="G9" s="15" t="s">
        <v>56</v>
      </c>
      <c r="H9" s="15" t="s">
        <v>81</v>
      </c>
      <c r="I9" s="15" t="s">
        <v>33</v>
      </c>
      <c r="J9" s="15" t="s">
        <v>58</v>
      </c>
    </row>
    <row r="10" customFormat="false" ht="15" hidden="false" customHeight="true" outlineLevel="0" collapsed="false">
      <c r="A10" s="15" t="s">
        <v>82</v>
      </c>
      <c r="B10" s="16" t="n">
        <v>46334</v>
      </c>
      <c r="C10" s="15" t="s">
        <v>49</v>
      </c>
      <c r="D10" s="15" t="s">
        <v>15</v>
      </c>
      <c r="E10" s="15" t="s">
        <v>24</v>
      </c>
      <c r="F10" s="15" t="s">
        <v>83</v>
      </c>
      <c r="G10" s="15" t="s">
        <v>84</v>
      </c>
      <c r="H10" s="15" t="s">
        <v>85</v>
      </c>
      <c r="I10" s="15" t="s">
        <v>33</v>
      </c>
      <c r="J10" s="15" t="s">
        <v>58</v>
      </c>
    </row>
    <row r="11" customFormat="false" ht="20.25" hidden="false" customHeight="true" outlineLevel="0" collapsed="false">
      <c r="A11" s="15" t="s">
        <v>86</v>
      </c>
      <c r="B11" s="16" t="n">
        <v>46335</v>
      </c>
      <c r="C11" s="15" t="s">
        <v>54</v>
      </c>
      <c r="D11" s="15" t="s">
        <v>15</v>
      </c>
      <c r="E11" s="15" t="s">
        <v>26</v>
      </c>
      <c r="F11" s="15" t="s">
        <v>87</v>
      </c>
      <c r="G11" s="15" t="s">
        <v>62</v>
      </c>
      <c r="H11" s="15" t="s">
        <v>63</v>
      </c>
      <c r="I11" s="15" t="s">
        <v>33</v>
      </c>
      <c r="J11" s="15" t="s">
        <v>2</v>
      </c>
    </row>
    <row r="12" customFormat="false" ht="15" hidden="false" customHeight="true" outlineLevel="0" collapsed="false">
      <c r="A12" s="15" t="s">
        <v>88</v>
      </c>
      <c r="B12" s="16" t="n">
        <v>46336</v>
      </c>
      <c r="C12" s="15" t="s">
        <v>60</v>
      </c>
      <c r="D12" s="15" t="s">
        <v>15</v>
      </c>
      <c r="E12" s="15" t="s">
        <v>23</v>
      </c>
      <c r="F12" s="15" t="s">
        <v>89</v>
      </c>
      <c r="G12" s="15" t="s">
        <v>90</v>
      </c>
      <c r="H12" s="15" t="s">
        <v>91</v>
      </c>
      <c r="I12" s="15" t="s">
        <v>33</v>
      </c>
      <c r="J12" s="15" t="s">
        <v>2</v>
      </c>
    </row>
    <row r="13" customFormat="false" ht="15" hidden="false" customHeight="true" outlineLevel="0" collapsed="false">
      <c r="A13" s="15" t="s">
        <v>92</v>
      </c>
      <c r="B13" s="16" t="n">
        <v>46337</v>
      </c>
      <c r="C13" s="15" t="s">
        <v>65</v>
      </c>
      <c r="D13" s="15" t="s">
        <v>15</v>
      </c>
      <c r="E13" s="15" t="s">
        <v>25</v>
      </c>
      <c r="F13" s="15" t="s">
        <v>93</v>
      </c>
      <c r="G13" s="15" t="s">
        <v>94</v>
      </c>
      <c r="H13" s="15" t="s">
        <v>95</v>
      </c>
      <c r="I13" s="15" t="s">
        <v>33</v>
      </c>
      <c r="J13" s="15" t="s">
        <v>2</v>
      </c>
    </row>
    <row r="14" customFormat="false" ht="20.25" hidden="false" customHeight="true" outlineLevel="0" collapsed="false">
      <c r="A14" s="15" t="s">
        <v>96</v>
      </c>
      <c r="B14" s="16" t="n">
        <v>46338</v>
      </c>
      <c r="C14" s="15" t="s">
        <v>70</v>
      </c>
      <c r="D14" s="15" t="s">
        <v>15</v>
      </c>
      <c r="E14" s="15" t="s">
        <v>26</v>
      </c>
      <c r="F14" s="15" t="s">
        <v>97</v>
      </c>
      <c r="G14" s="15" t="s">
        <v>62</v>
      </c>
      <c r="H14" s="15" t="s">
        <v>63</v>
      </c>
      <c r="I14" s="15" t="s">
        <v>33</v>
      </c>
      <c r="J14" s="15" t="s">
        <v>2</v>
      </c>
    </row>
    <row r="15" customFormat="false" ht="15" hidden="false" customHeight="true" outlineLevel="0" collapsed="false">
      <c r="A15" s="15" t="s">
        <v>98</v>
      </c>
      <c r="B15" s="16" t="n">
        <v>46339</v>
      </c>
      <c r="C15" s="15" t="s">
        <v>76</v>
      </c>
      <c r="D15" s="15" t="s">
        <v>15</v>
      </c>
      <c r="E15" s="15" t="s">
        <v>24</v>
      </c>
      <c r="F15" s="15" t="s">
        <v>99</v>
      </c>
      <c r="G15" s="15" t="s">
        <v>100</v>
      </c>
      <c r="H15" s="15" t="s">
        <v>101</v>
      </c>
      <c r="I15" s="15" t="s">
        <v>33</v>
      </c>
      <c r="J15" s="15" t="s">
        <v>74</v>
      </c>
    </row>
    <row r="16" customFormat="false" ht="15" hidden="false" customHeight="true" outlineLevel="0" collapsed="false">
      <c r="A16" s="15" t="s">
        <v>102</v>
      </c>
      <c r="B16" s="16" t="n">
        <v>46340</v>
      </c>
      <c r="C16" s="15" t="s">
        <v>79</v>
      </c>
      <c r="D16" s="15" t="s">
        <v>15</v>
      </c>
      <c r="E16" s="15" t="s">
        <v>25</v>
      </c>
      <c r="F16" s="15" t="s">
        <v>103</v>
      </c>
      <c r="G16" s="15" t="s">
        <v>56</v>
      </c>
      <c r="H16" s="15" t="s">
        <v>104</v>
      </c>
      <c r="I16" s="15" t="s">
        <v>33</v>
      </c>
      <c r="J16" s="15" t="s">
        <v>2</v>
      </c>
    </row>
    <row r="17" customFormat="false" ht="20.25" hidden="false" customHeight="true" outlineLevel="0" collapsed="false">
      <c r="A17" s="15" t="s">
        <v>105</v>
      </c>
      <c r="B17" s="16" t="n">
        <v>46341</v>
      </c>
      <c r="C17" s="15" t="s">
        <v>49</v>
      </c>
      <c r="D17" s="15" t="s">
        <v>15</v>
      </c>
      <c r="E17" s="15" t="s">
        <v>26</v>
      </c>
      <c r="F17" s="15" t="s">
        <v>106</v>
      </c>
      <c r="G17" s="15" t="s">
        <v>62</v>
      </c>
      <c r="H17" s="15" t="s">
        <v>63</v>
      </c>
      <c r="I17" s="15" t="s">
        <v>33</v>
      </c>
      <c r="J17" s="15" t="s">
        <v>2</v>
      </c>
    </row>
  </sheetData>
  <autoFilter ref="A2:J17"/>
  <mergeCells count="1">
    <mergeCell ref="A1:J1"/>
  </mergeCells>
  <dataValidations count="2">
    <dataValidation allowBlank="true" errorStyle="stop" operator="between" showDropDown="false" showErrorMessage="false" showInputMessage="false" sqref="I3:I17" type="list">
      <formula1>"مسودة,جاهز للمراجعة,مجدول,منشور"</formula1>
      <formula2>0</formula2>
    </dataValidation>
    <dataValidation allowBlank="true" errorStyle="stop" operator="between" showDropDown="false" showErrorMessage="false" showInputMessage="false" sqref="D3:D17" type="list">
      <formula1>"LinkedIn,Instagram,Facebook,TikTok,X"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18"/>
    <col collapsed="false" customWidth="true" hidden="false" outlineLevel="0" max="4" min="4" style="1" width="40"/>
    <col collapsed="false" customWidth="true" hidden="false" outlineLevel="0" max="5" min="5" style="1" width="70"/>
    <col collapsed="false" customWidth="true" hidden="false" outlineLevel="0" max="6" min="6" style="1" width="34"/>
    <col collapsed="false" customWidth="true" hidden="false" outlineLevel="0" max="7" min="7" style="1" width="12"/>
    <col collapsed="false" customWidth="true" hidden="false" outlineLevel="0" max="9" min="8" style="1" width="14"/>
  </cols>
  <sheetData>
    <row r="1" customFormat="false" ht="27.75" hidden="false" customHeight="true" outlineLevel="0" collapsed="false">
      <c r="A1" s="2" t="s">
        <v>107</v>
      </c>
      <c r="B1" s="2"/>
      <c r="C1" s="2"/>
      <c r="D1" s="2"/>
      <c r="E1" s="2"/>
      <c r="F1" s="2"/>
      <c r="G1" s="2"/>
      <c r="H1" s="2"/>
      <c r="I1" s="2"/>
    </row>
    <row r="2" customFormat="false" ht="15" hidden="false" customHeight="true" outlineLevel="0" collapsed="false">
      <c r="A2" s="7" t="s">
        <v>42</v>
      </c>
      <c r="B2" s="7" t="s">
        <v>28</v>
      </c>
      <c r="C2" s="7" t="s">
        <v>17</v>
      </c>
      <c r="D2" s="7" t="s">
        <v>45</v>
      </c>
      <c r="E2" s="7" t="s">
        <v>108</v>
      </c>
      <c r="F2" s="7" t="s">
        <v>109</v>
      </c>
      <c r="G2" s="7" t="s">
        <v>110</v>
      </c>
      <c r="H2" s="7" t="s">
        <v>111</v>
      </c>
      <c r="I2" s="7" t="s">
        <v>22</v>
      </c>
    </row>
    <row r="3" customFormat="false" ht="97.5" hidden="false" customHeight="true" outlineLevel="0" collapsed="false">
      <c r="A3" s="15" t="s">
        <v>48</v>
      </c>
      <c r="B3" s="15" t="s">
        <v>15</v>
      </c>
      <c r="C3" s="15" t="s">
        <v>23</v>
      </c>
      <c r="D3" s="15" t="s">
        <v>50</v>
      </c>
      <c r="E3" s="15" t="s">
        <v>112</v>
      </c>
      <c r="F3" s="15" t="s">
        <v>113</v>
      </c>
      <c r="G3" s="15" t="n">
        <f aca="false">LEN(E3)</f>
        <v>363</v>
      </c>
      <c r="H3" s="15" t="n">
        <v>2000</v>
      </c>
      <c r="I3" s="15" t="str">
        <f aca="false">IF(G3&gt;H3,"تجاوز الحد","ضمن الحد")</f>
        <v>ضمن الحد</v>
      </c>
    </row>
    <row r="4" customFormat="false" ht="86.25" hidden="false" customHeight="true" outlineLevel="0" collapsed="false">
      <c r="A4" s="15" t="s">
        <v>53</v>
      </c>
      <c r="B4" s="15" t="s">
        <v>15</v>
      </c>
      <c r="C4" s="15" t="s">
        <v>24</v>
      </c>
      <c r="D4" s="15" t="s">
        <v>55</v>
      </c>
      <c r="E4" s="15" t="s">
        <v>114</v>
      </c>
      <c r="F4" s="15" t="s">
        <v>115</v>
      </c>
      <c r="G4" s="15" t="n">
        <f aca="false">LEN(E4)</f>
        <v>282</v>
      </c>
      <c r="H4" s="15" t="n">
        <v>2000</v>
      </c>
      <c r="I4" s="15" t="str">
        <f aca="false">IF(G4&gt;H4,"تجاوز الحد","ضمن الحد")</f>
        <v>ضمن الحد</v>
      </c>
    </row>
    <row r="5" customFormat="false" ht="89.25" hidden="false" customHeight="true" outlineLevel="0" collapsed="false">
      <c r="A5" s="15" t="s">
        <v>59</v>
      </c>
      <c r="B5" s="15" t="s">
        <v>15</v>
      </c>
      <c r="C5" s="15" t="s">
        <v>26</v>
      </c>
      <c r="D5" s="15" t="s">
        <v>61</v>
      </c>
      <c r="E5" s="15" t="s">
        <v>116</v>
      </c>
      <c r="F5" s="15" t="s">
        <v>117</v>
      </c>
      <c r="G5" s="15" t="n">
        <f aca="false">LEN(E5)</f>
        <v>342</v>
      </c>
      <c r="H5" s="15" t="n">
        <v>2000</v>
      </c>
      <c r="I5" s="15" t="str">
        <f aca="false">IF(G5&gt;H5,"تجاوز الحد","ضمن الحد")</f>
        <v>ضمن الحد</v>
      </c>
    </row>
    <row r="6" customFormat="false" ht="96" hidden="false" customHeight="true" outlineLevel="0" collapsed="false">
      <c r="A6" s="15" t="s">
        <v>64</v>
      </c>
      <c r="B6" s="15" t="s">
        <v>15</v>
      </c>
      <c r="C6" s="15" t="s">
        <v>23</v>
      </c>
      <c r="D6" s="15" t="s">
        <v>66</v>
      </c>
      <c r="E6" s="15" t="s">
        <v>118</v>
      </c>
      <c r="F6" s="15" t="s">
        <v>119</v>
      </c>
      <c r="G6" s="15" t="n">
        <f aca="false">LEN(E6)</f>
        <v>382</v>
      </c>
      <c r="H6" s="15" t="n">
        <v>2000</v>
      </c>
      <c r="I6" s="15" t="str">
        <f aca="false">IF(G6&gt;H6,"تجاوز الحد","ضمن الحد")</f>
        <v>ضمن الحد</v>
      </c>
    </row>
    <row r="7" customFormat="false" ht="87.75" hidden="false" customHeight="true" outlineLevel="0" collapsed="false">
      <c r="A7" s="15" t="s">
        <v>69</v>
      </c>
      <c r="B7" s="15" t="s">
        <v>15</v>
      </c>
      <c r="C7" s="15" t="s">
        <v>25</v>
      </c>
      <c r="D7" s="15" t="s">
        <v>71</v>
      </c>
      <c r="E7" s="15" t="s">
        <v>120</v>
      </c>
      <c r="F7" s="15" t="s">
        <v>121</v>
      </c>
      <c r="G7" s="15" t="n">
        <f aca="false">LEN(E7)</f>
        <v>286</v>
      </c>
      <c r="H7" s="15" t="n">
        <v>2000</v>
      </c>
      <c r="I7" s="15" t="str">
        <f aca="false">IF(G7&gt;H7,"تجاوز الحد","ضمن الحد")</f>
        <v>ضمن الحد</v>
      </c>
    </row>
    <row r="8" customFormat="false" ht="89.25" hidden="false" customHeight="true" outlineLevel="0" collapsed="false">
      <c r="A8" s="15" t="s">
        <v>75</v>
      </c>
      <c r="B8" s="15" t="s">
        <v>15</v>
      </c>
      <c r="C8" s="15" t="s">
        <v>26</v>
      </c>
      <c r="D8" s="15" t="s">
        <v>77</v>
      </c>
      <c r="E8" s="15" t="s">
        <v>122</v>
      </c>
      <c r="F8" s="15" t="s">
        <v>123</v>
      </c>
      <c r="G8" s="15" t="n">
        <f aca="false">LEN(E8)</f>
        <v>302</v>
      </c>
      <c r="H8" s="15" t="n">
        <v>2000</v>
      </c>
      <c r="I8" s="15" t="str">
        <f aca="false">IF(G8&gt;H8,"تجاوز الحد","ضمن الحد")</f>
        <v>ضمن الحد</v>
      </c>
    </row>
    <row r="9" customFormat="false" ht="97.5" hidden="false" customHeight="true" outlineLevel="0" collapsed="false">
      <c r="A9" s="15" t="s">
        <v>78</v>
      </c>
      <c r="B9" s="15" t="s">
        <v>15</v>
      </c>
      <c r="C9" s="15" t="s">
        <v>23</v>
      </c>
      <c r="D9" s="15" t="s">
        <v>80</v>
      </c>
      <c r="E9" s="15" t="s">
        <v>124</v>
      </c>
      <c r="F9" s="15" t="s">
        <v>125</v>
      </c>
      <c r="G9" s="15" t="n">
        <f aca="false">LEN(E9)</f>
        <v>355</v>
      </c>
      <c r="H9" s="15" t="n">
        <v>2000</v>
      </c>
      <c r="I9" s="15" t="str">
        <f aca="false">IF(G9&gt;H9,"تجاوز الحد","ضمن الحد")</f>
        <v>ضمن الحد</v>
      </c>
    </row>
    <row r="10" customFormat="false" ht="86.25" hidden="false" customHeight="true" outlineLevel="0" collapsed="false">
      <c r="A10" s="15" t="s">
        <v>82</v>
      </c>
      <c r="B10" s="15" t="s">
        <v>15</v>
      </c>
      <c r="C10" s="15" t="s">
        <v>24</v>
      </c>
      <c r="D10" s="15" t="s">
        <v>83</v>
      </c>
      <c r="E10" s="15" t="s">
        <v>126</v>
      </c>
      <c r="F10" s="15" t="s">
        <v>127</v>
      </c>
      <c r="G10" s="15" t="n">
        <f aca="false">LEN(E10)</f>
        <v>264</v>
      </c>
      <c r="H10" s="15" t="n">
        <v>2000</v>
      </c>
      <c r="I10" s="15" t="str">
        <f aca="false">IF(G10&gt;H10,"تجاوز الحد","ضمن الحد")</f>
        <v>ضمن الحد</v>
      </c>
    </row>
    <row r="11" customFormat="false" ht="89.25" hidden="false" customHeight="true" outlineLevel="0" collapsed="false">
      <c r="A11" s="15" t="s">
        <v>86</v>
      </c>
      <c r="B11" s="15" t="s">
        <v>15</v>
      </c>
      <c r="C11" s="15" t="s">
        <v>26</v>
      </c>
      <c r="D11" s="15" t="s">
        <v>87</v>
      </c>
      <c r="E11" s="15" t="s">
        <v>128</v>
      </c>
      <c r="F11" s="15" t="s">
        <v>129</v>
      </c>
      <c r="G11" s="15" t="n">
        <f aca="false">LEN(E11)</f>
        <v>301</v>
      </c>
      <c r="H11" s="15" t="n">
        <v>2000</v>
      </c>
      <c r="I11" s="15" t="str">
        <f aca="false">IF(G11&gt;H11,"تجاوز الحد","ضمن الحد")</f>
        <v>ضمن الحد</v>
      </c>
    </row>
    <row r="12" customFormat="false" ht="86.25" hidden="false" customHeight="true" outlineLevel="0" collapsed="false">
      <c r="A12" s="15" t="s">
        <v>88</v>
      </c>
      <c r="B12" s="15" t="s">
        <v>15</v>
      </c>
      <c r="C12" s="15" t="s">
        <v>23</v>
      </c>
      <c r="D12" s="15" t="s">
        <v>89</v>
      </c>
      <c r="E12" s="15" t="s">
        <v>130</v>
      </c>
      <c r="F12" s="15" t="s">
        <v>131</v>
      </c>
      <c r="G12" s="15" t="n">
        <f aca="false">LEN(E12)</f>
        <v>290</v>
      </c>
      <c r="H12" s="15" t="n">
        <v>2000</v>
      </c>
      <c r="I12" s="15" t="str">
        <f aca="false">IF(G12&gt;H12,"تجاوز الحد","ضمن الحد")</f>
        <v>ضمن الحد</v>
      </c>
    </row>
    <row r="13" customFormat="false" ht="97.5" hidden="false" customHeight="true" outlineLevel="0" collapsed="false">
      <c r="A13" s="15" t="s">
        <v>92</v>
      </c>
      <c r="B13" s="15" t="s">
        <v>15</v>
      </c>
      <c r="C13" s="15" t="s">
        <v>25</v>
      </c>
      <c r="D13" s="15" t="s">
        <v>93</v>
      </c>
      <c r="E13" s="15" t="s">
        <v>132</v>
      </c>
      <c r="F13" s="15" t="s">
        <v>133</v>
      </c>
      <c r="G13" s="15" t="n">
        <f aca="false">LEN(E13)</f>
        <v>429</v>
      </c>
      <c r="H13" s="15" t="n">
        <v>2000</v>
      </c>
      <c r="I13" s="15" t="str">
        <f aca="false">IF(G13&gt;H13,"تجاوز الحد","ضمن الحد")</f>
        <v>ضمن الحد</v>
      </c>
    </row>
    <row r="14" customFormat="false" ht="89.25" hidden="false" customHeight="true" outlineLevel="0" collapsed="false">
      <c r="A14" s="15" t="s">
        <v>96</v>
      </c>
      <c r="B14" s="15" t="s">
        <v>15</v>
      </c>
      <c r="C14" s="15" t="s">
        <v>26</v>
      </c>
      <c r="D14" s="15" t="s">
        <v>97</v>
      </c>
      <c r="E14" s="15" t="s">
        <v>134</v>
      </c>
      <c r="F14" s="15" t="s">
        <v>135</v>
      </c>
      <c r="G14" s="15" t="n">
        <f aca="false">LEN(E14)</f>
        <v>266</v>
      </c>
      <c r="H14" s="15" t="n">
        <v>2000</v>
      </c>
      <c r="I14" s="15" t="str">
        <f aca="false">IF(G14&gt;H14,"تجاوز الحد","ضمن الحد")</f>
        <v>ضمن الحد</v>
      </c>
    </row>
    <row r="15" customFormat="false" ht="87.75" hidden="false" customHeight="true" outlineLevel="0" collapsed="false">
      <c r="A15" s="15" t="s">
        <v>98</v>
      </c>
      <c r="B15" s="15" t="s">
        <v>15</v>
      </c>
      <c r="C15" s="15" t="s">
        <v>24</v>
      </c>
      <c r="D15" s="15" t="s">
        <v>99</v>
      </c>
      <c r="E15" s="15" t="s">
        <v>136</v>
      </c>
      <c r="F15" s="15" t="s">
        <v>137</v>
      </c>
      <c r="G15" s="15" t="n">
        <f aca="false">LEN(E15)</f>
        <v>259</v>
      </c>
      <c r="H15" s="15" t="n">
        <v>2000</v>
      </c>
      <c r="I15" s="15" t="str">
        <f aca="false">IF(G15&gt;H15,"تجاوز الحد","ضمن الحد")</f>
        <v>ضمن الحد</v>
      </c>
    </row>
    <row r="16" customFormat="false" ht="87.75" hidden="false" customHeight="true" outlineLevel="0" collapsed="false">
      <c r="A16" s="15" t="s">
        <v>102</v>
      </c>
      <c r="B16" s="15" t="s">
        <v>15</v>
      </c>
      <c r="C16" s="15" t="s">
        <v>25</v>
      </c>
      <c r="D16" s="15" t="s">
        <v>103</v>
      </c>
      <c r="E16" s="15" t="s">
        <v>138</v>
      </c>
      <c r="F16" s="15" t="s">
        <v>139</v>
      </c>
      <c r="G16" s="15" t="n">
        <f aca="false">LEN(E16)</f>
        <v>334</v>
      </c>
      <c r="H16" s="15" t="n">
        <v>2000</v>
      </c>
      <c r="I16" s="15" t="str">
        <f aca="false">IF(G16&gt;H16,"تجاوز الحد","ضمن الحد")</f>
        <v>ضمن الحد</v>
      </c>
    </row>
    <row r="17" customFormat="false" ht="89.25" hidden="false" customHeight="true" outlineLevel="0" collapsed="false">
      <c r="A17" s="15" t="s">
        <v>105</v>
      </c>
      <c r="B17" s="15" t="s">
        <v>15</v>
      </c>
      <c r="C17" s="15" t="s">
        <v>26</v>
      </c>
      <c r="D17" s="15" t="s">
        <v>106</v>
      </c>
      <c r="E17" s="15" t="s">
        <v>140</v>
      </c>
      <c r="F17" s="15" t="s">
        <v>141</v>
      </c>
      <c r="G17" s="15" t="n">
        <f aca="false">LEN(E17)</f>
        <v>290</v>
      </c>
      <c r="H17" s="15" t="n">
        <v>2000</v>
      </c>
      <c r="I17" s="15" t="str">
        <f aca="false">IF(G17&gt;H17,"تجاوز الحد","ضمن الحد")</f>
        <v>ضمن الحد</v>
      </c>
    </row>
  </sheetData>
  <autoFilter ref="A2:I17"/>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34"/>
    <col collapsed="false" customWidth="true" hidden="false" outlineLevel="0" max="4" min="4" style="1" width="12"/>
    <col collapsed="false" customWidth="true" hidden="false" outlineLevel="0" max="5" min="5" style="1" width="26"/>
    <col collapsed="false" customWidth="true" hidden="false" outlineLevel="0" max="7" min="6" style="1" width="11"/>
    <col collapsed="false" customWidth="true" hidden="false" outlineLevel="0" max="9" min="8" style="1" width="14"/>
    <col collapsed="false" customWidth="true" hidden="false" outlineLevel="0" max="10" min="10" style="1" width="36"/>
  </cols>
  <sheetData>
    <row r="1" customFormat="false" ht="27.75" hidden="false" customHeight="true" outlineLevel="0" collapsed="false">
      <c r="A1" s="2" t="s">
        <v>142</v>
      </c>
      <c r="B1" s="2"/>
      <c r="C1" s="2"/>
      <c r="D1" s="2"/>
      <c r="E1" s="2"/>
      <c r="F1" s="2"/>
      <c r="G1" s="2"/>
      <c r="H1" s="2"/>
      <c r="I1" s="2"/>
      <c r="J1" s="2"/>
    </row>
    <row r="2" customFormat="false" ht="15" hidden="false" customHeight="true" outlineLevel="0" collapsed="false">
      <c r="A2" s="7" t="s">
        <v>42</v>
      </c>
      <c r="B2" s="7" t="s">
        <v>28</v>
      </c>
      <c r="C2" s="7" t="s">
        <v>143</v>
      </c>
      <c r="D2" s="7" t="s">
        <v>144</v>
      </c>
      <c r="E2" s="7" t="s">
        <v>145</v>
      </c>
      <c r="F2" s="7" t="s">
        <v>146</v>
      </c>
      <c r="G2" s="7" t="s">
        <v>27</v>
      </c>
      <c r="H2" s="7" t="s">
        <v>147</v>
      </c>
      <c r="I2" s="7" t="s">
        <v>22</v>
      </c>
      <c r="J2" s="7" t="s">
        <v>109</v>
      </c>
    </row>
    <row r="3" customFormat="false" ht="20.25" hidden="false" customHeight="true" outlineLevel="0" collapsed="false">
      <c r="A3" s="15" t="s">
        <v>48</v>
      </c>
      <c r="B3" s="15" t="s">
        <v>15</v>
      </c>
      <c r="C3" s="15" t="s">
        <v>148</v>
      </c>
      <c r="D3" s="15" t="n">
        <f aca="false">IF(LEN(TRIM(C3))=0,0,LEN(TRIM(C3))-LEN(SUBSTITUTE(TRIM(C3)," ",""))+1)</f>
        <v>2</v>
      </c>
      <c r="E3" s="15" t="s">
        <v>149</v>
      </c>
      <c r="F3" s="15" t="n">
        <f aca="false">IF(LEN(TRIM(E3))=0,0,LEN(TRIM(E3))-LEN(SUBSTITUTE(TRIM(E3)," ",""))+1)</f>
        <v>1</v>
      </c>
      <c r="G3" s="15" t="n">
        <f aca="false">D3+F3</f>
        <v>3</v>
      </c>
      <c r="H3" s="15" t="n">
        <v>5</v>
      </c>
      <c r="I3" s="15" t="str">
        <f aca="false">IF(G3&gt;H3,"تجاوز الحد","ضمن الحد")</f>
        <v>ضمن الحد</v>
      </c>
      <c r="J3" s="15" t="s">
        <v>113</v>
      </c>
    </row>
    <row r="4" customFormat="false" ht="15" hidden="false" customHeight="true" outlineLevel="0" collapsed="false">
      <c r="A4" s="15" t="s">
        <v>53</v>
      </c>
      <c r="B4" s="15" t="s">
        <v>15</v>
      </c>
      <c r="C4" s="15" t="s">
        <v>150</v>
      </c>
      <c r="D4" s="15" t="n">
        <f aca="false">IF(LEN(TRIM(C4))=0,0,LEN(TRIM(C4))-LEN(SUBSTITUTE(TRIM(C4)," ",""))+1)</f>
        <v>1</v>
      </c>
      <c r="E4" s="15" t="s">
        <v>151</v>
      </c>
      <c r="F4" s="15" t="n">
        <f aca="false">IF(LEN(TRIM(E4))=0,0,LEN(TRIM(E4))-LEN(SUBSTITUTE(TRIM(E4)," ",""))+1)</f>
        <v>1</v>
      </c>
      <c r="G4" s="15" t="n">
        <f aca="false">D4+F4</f>
        <v>2</v>
      </c>
      <c r="H4" s="15" t="n">
        <v>5</v>
      </c>
      <c r="I4" s="15" t="str">
        <f aca="false">IF(G4&gt;H4,"تجاوز الحد","ضمن الحد")</f>
        <v>ضمن الحد</v>
      </c>
      <c r="J4" s="15" t="s">
        <v>115</v>
      </c>
    </row>
    <row r="5" customFormat="false" ht="15" hidden="false" customHeight="true" outlineLevel="0" collapsed="false">
      <c r="A5" s="15" t="s">
        <v>59</v>
      </c>
      <c r="B5" s="15" t="s">
        <v>15</v>
      </c>
      <c r="C5" s="15" t="s">
        <v>152</v>
      </c>
      <c r="D5" s="15" t="n">
        <f aca="false">IF(LEN(TRIM(C5))=0,0,LEN(TRIM(C5))-LEN(SUBSTITUTE(TRIM(C5)," ",""))+1)</f>
        <v>2</v>
      </c>
      <c r="E5" s="15" t="s">
        <v>151</v>
      </c>
      <c r="F5" s="15" t="n">
        <f aca="false">IF(LEN(TRIM(E5))=0,0,LEN(TRIM(E5))-LEN(SUBSTITUTE(TRIM(E5)," ",""))+1)</f>
        <v>1</v>
      </c>
      <c r="G5" s="15" t="n">
        <f aca="false">D5+F5</f>
        <v>3</v>
      </c>
      <c r="H5" s="15" t="n">
        <v>5</v>
      </c>
      <c r="I5" s="15" t="str">
        <f aca="false">IF(G5&gt;H5,"تجاوز الحد","ضمن الحد")</f>
        <v>ضمن الحد</v>
      </c>
      <c r="J5" s="15" t="s">
        <v>117</v>
      </c>
    </row>
    <row r="6" customFormat="false" ht="15" hidden="false" customHeight="true" outlineLevel="0" collapsed="false">
      <c r="A6" s="15" t="s">
        <v>64</v>
      </c>
      <c r="B6" s="15" t="s">
        <v>15</v>
      </c>
      <c r="C6" s="15" t="s">
        <v>153</v>
      </c>
      <c r="D6" s="15" t="n">
        <f aca="false">IF(LEN(TRIM(C6))=0,0,LEN(TRIM(C6))-LEN(SUBSTITUTE(TRIM(C6)," ",""))+1)</f>
        <v>2</v>
      </c>
      <c r="E6" s="15" t="s">
        <v>149</v>
      </c>
      <c r="F6" s="15" t="n">
        <f aca="false">IF(LEN(TRIM(E6))=0,0,LEN(TRIM(E6))-LEN(SUBSTITUTE(TRIM(E6)," ",""))+1)</f>
        <v>1</v>
      </c>
      <c r="G6" s="15" t="n">
        <f aca="false">D6+F6</f>
        <v>3</v>
      </c>
      <c r="H6" s="15" t="n">
        <v>5</v>
      </c>
      <c r="I6" s="15" t="str">
        <f aca="false">IF(G6&gt;H6,"تجاوز الحد","ضمن الحد")</f>
        <v>ضمن الحد</v>
      </c>
      <c r="J6" s="15" t="s">
        <v>119</v>
      </c>
    </row>
    <row r="7" customFormat="false" ht="15" hidden="false" customHeight="true" outlineLevel="0" collapsed="false">
      <c r="A7" s="15" t="s">
        <v>69</v>
      </c>
      <c r="B7" s="15" t="s">
        <v>15</v>
      </c>
      <c r="C7" s="15" t="s">
        <v>150</v>
      </c>
      <c r="D7" s="15" t="n">
        <f aca="false">IF(LEN(TRIM(C7))=0,0,LEN(TRIM(C7))-LEN(SUBSTITUTE(TRIM(C7)," ",""))+1)</f>
        <v>1</v>
      </c>
      <c r="E7" s="15" t="s">
        <v>154</v>
      </c>
      <c r="F7" s="15" t="n">
        <f aca="false">IF(LEN(TRIM(E7))=0,0,LEN(TRIM(E7))-LEN(SUBSTITUTE(TRIM(E7)," ",""))+1)</f>
        <v>1</v>
      </c>
      <c r="G7" s="15" t="n">
        <f aca="false">D7+F7</f>
        <v>2</v>
      </c>
      <c r="H7" s="15" t="n">
        <v>5</v>
      </c>
      <c r="I7" s="15" t="str">
        <f aca="false">IF(G7&gt;H7,"تجاوز الحد","ضمن الحد")</f>
        <v>ضمن الحد</v>
      </c>
      <c r="J7" s="15" t="s">
        <v>121</v>
      </c>
    </row>
    <row r="8" customFormat="false" ht="15" hidden="false" customHeight="true" outlineLevel="0" collapsed="false">
      <c r="A8" s="15" t="s">
        <v>75</v>
      </c>
      <c r="B8" s="15" t="s">
        <v>15</v>
      </c>
      <c r="C8" s="15" t="s">
        <v>155</v>
      </c>
      <c r="D8" s="15" t="n">
        <f aca="false">IF(LEN(TRIM(C8))=0,0,LEN(TRIM(C8))-LEN(SUBSTITUTE(TRIM(C8)," ",""))+1)</f>
        <v>2</v>
      </c>
      <c r="E8" s="15" t="s">
        <v>151</v>
      </c>
      <c r="F8" s="15" t="n">
        <f aca="false">IF(LEN(TRIM(E8))=0,0,LEN(TRIM(E8))-LEN(SUBSTITUTE(TRIM(E8)," ",""))+1)</f>
        <v>1</v>
      </c>
      <c r="G8" s="15" t="n">
        <f aca="false">D8+F8</f>
        <v>3</v>
      </c>
      <c r="H8" s="15" t="n">
        <v>5</v>
      </c>
      <c r="I8" s="15" t="str">
        <f aca="false">IF(G8&gt;H8,"تجاوز الحد","ضمن الحد")</f>
        <v>ضمن الحد</v>
      </c>
      <c r="J8" s="15" t="s">
        <v>123</v>
      </c>
    </row>
    <row r="9" customFormat="false" ht="15" hidden="false" customHeight="true" outlineLevel="0" collapsed="false">
      <c r="A9" s="15" t="s">
        <v>78</v>
      </c>
      <c r="B9" s="15" t="s">
        <v>15</v>
      </c>
      <c r="C9" s="15" t="s">
        <v>156</v>
      </c>
      <c r="D9" s="15" t="n">
        <f aca="false">IF(LEN(TRIM(C9))=0,0,LEN(TRIM(C9))-LEN(SUBSTITUTE(TRIM(C9)," ",""))+1)</f>
        <v>2</v>
      </c>
      <c r="E9" s="15" t="s">
        <v>157</v>
      </c>
      <c r="F9" s="15" t="n">
        <f aca="false">IF(LEN(TRIM(E9))=0,0,LEN(TRIM(E9))-LEN(SUBSTITUTE(TRIM(E9)," ",""))+1)</f>
        <v>1</v>
      </c>
      <c r="G9" s="15" t="n">
        <f aca="false">D9+F9</f>
        <v>3</v>
      </c>
      <c r="H9" s="15" t="n">
        <v>5</v>
      </c>
      <c r="I9" s="15" t="str">
        <f aca="false">IF(G9&gt;H9,"تجاوز الحد","ضمن الحد")</f>
        <v>ضمن الحد</v>
      </c>
      <c r="J9" s="15" t="s">
        <v>125</v>
      </c>
    </row>
    <row r="10" customFormat="false" ht="15" hidden="false" customHeight="true" outlineLevel="0" collapsed="false">
      <c r="A10" s="15" t="s">
        <v>82</v>
      </c>
      <c r="B10" s="15" t="s">
        <v>15</v>
      </c>
      <c r="C10" s="15" t="s">
        <v>150</v>
      </c>
      <c r="D10" s="15" t="n">
        <f aca="false">IF(LEN(TRIM(C10))=0,0,LEN(TRIM(C10))-LEN(SUBSTITUTE(TRIM(C10)," ",""))+1)</f>
        <v>1</v>
      </c>
      <c r="E10" s="15" t="s">
        <v>149</v>
      </c>
      <c r="F10" s="15" t="n">
        <f aca="false">IF(LEN(TRIM(E10))=0,0,LEN(TRIM(E10))-LEN(SUBSTITUTE(TRIM(E10)," ",""))+1)</f>
        <v>1</v>
      </c>
      <c r="G10" s="15" t="n">
        <f aca="false">D10+F10</f>
        <v>2</v>
      </c>
      <c r="H10" s="15" t="n">
        <v>5</v>
      </c>
      <c r="I10" s="15" t="str">
        <f aca="false">IF(G10&gt;H10,"تجاوز الحد","ضمن الحد")</f>
        <v>ضمن الحد</v>
      </c>
      <c r="J10" s="15" t="s">
        <v>127</v>
      </c>
    </row>
    <row r="11" customFormat="false" ht="15" hidden="false" customHeight="true" outlineLevel="0" collapsed="false">
      <c r="A11" s="15" t="s">
        <v>86</v>
      </c>
      <c r="B11" s="15" t="s">
        <v>15</v>
      </c>
      <c r="C11" s="15" t="s">
        <v>158</v>
      </c>
      <c r="D11" s="15" t="n">
        <f aca="false">IF(LEN(TRIM(C11))=0,0,LEN(TRIM(C11))-LEN(SUBSTITUTE(TRIM(C11)," ",""))+1)</f>
        <v>2</v>
      </c>
      <c r="E11" s="15" t="s">
        <v>151</v>
      </c>
      <c r="F11" s="15" t="n">
        <f aca="false">IF(LEN(TRIM(E11))=0,0,LEN(TRIM(E11))-LEN(SUBSTITUTE(TRIM(E11)," ",""))+1)</f>
        <v>1</v>
      </c>
      <c r="G11" s="15" t="n">
        <f aca="false">D11+F11</f>
        <v>3</v>
      </c>
      <c r="H11" s="15" t="n">
        <v>5</v>
      </c>
      <c r="I11" s="15" t="str">
        <f aca="false">IF(G11&gt;H11,"تجاوز الحد","ضمن الحد")</f>
        <v>ضمن الحد</v>
      </c>
      <c r="J11" s="15" t="s">
        <v>129</v>
      </c>
    </row>
    <row r="12" customFormat="false" ht="15" hidden="false" customHeight="true" outlineLevel="0" collapsed="false">
      <c r="A12" s="15" t="s">
        <v>88</v>
      </c>
      <c r="B12" s="15" t="s">
        <v>15</v>
      </c>
      <c r="C12" s="15" t="s">
        <v>156</v>
      </c>
      <c r="D12" s="15" t="n">
        <f aca="false">IF(LEN(TRIM(C12))=0,0,LEN(TRIM(C12))-LEN(SUBSTITUTE(TRIM(C12)," ",""))+1)</f>
        <v>2</v>
      </c>
      <c r="E12" s="15" t="s">
        <v>151</v>
      </c>
      <c r="F12" s="15" t="n">
        <f aca="false">IF(LEN(TRIM(E12))=0,0,LEN(TRIM(E12))-LEN(SUBSTITUTE(TRIM(E12)," ",""))+1)</f>
        <v>1</v>
      </c>
      <c r="G12" s="15" t="n">
        <f aca="false">D12+F12</f>
        <v>3</v>
      </c>
      <c r="H12" s="15" t="n">
        <v>5</v>
      </c>
      <c r="I12" s="15" t="str">
        <f aca="false">IF(G12&gt;H12,"تجاوز الحد","ضمن الحد")</f>
        <v>ضمن الحد</v>
      </c>
      <c r="J12" s="15" t="s">
        <v>131</v>
      </c>
    </row>
    <row r="13" customFormat="false" ht="20.25" hidden="false" customHeight="true" outlineLevel="0" collapsed="false">
      <c r="A13" s="15" t="s">
        <v>92</v>
      </c>
      <c r="B13" s="15" t="s">
        <v>15</v>
      </c>
      <c r="C13" s="15" t="s">
        <v>150</v>
      </c>
      <c r="D13" s="15" t="n">
        <f aca="false">IF(LEN(TRIM(C13))=0,0,LEN(TRIM(C13))-LEN(SUBSTITUTE(TRIM(C13)," ",""))+1)</f>
        <v>1</v>
      </c>
      <c r="E13" s="15" t="s">
        <v>159</v>
      </c>
      <c r="F13" s="15" t="n">
        <f aca="false">IF(LEN(TRIM(E13))=0,0,LEN(TRIM(E13))-LEN(SUBSTITUTE(TRIM(E13)," ",""))+1)</f>
        <v>1</v>
      </c>
      <c r="G13" s="15" t="n">
        <f aca="false">D13+F13</f>
        <v>2</v>
      </c>
      <c r="H13" s="15" t="n">
        <v>5</v>
      </c>
      <c r="I13" s="15" t="str">
        <f aca="false">IF(G13&gt;H13,"تجاوز الحد","ضمن الحد")</f>
        <v>ضمن الحد</v>
      </c>
      <c r="J13" s="15" t="s">
        <v>133</v>
      </c>
    </row>
    <row r="14" customFormat="false" ht="15" hidden="false" customHeight="true" outlineLevel="0" collapsed="false">
      <c r="A14" s="15" t="s">
        <v>96</v>
      </c>
      <c r="B14" s="15" t="s">
        <v>15</v>
      </c>
      <c r="C14" s="15" t="s">
        <v>160</v>
      </c>
      <c r="D14" s="15" t="n">
        <f aca="false">IF(LEN(TRIM(C14))=0,0,LEN(TRIM(C14))-LEN(SUBSTITUTE(TRIM(C14)," ",""))+1)</f>
        <v>2</v>
      </c>
      <c r="E14" s="15" t="s">
        <v>151</v>
      </c>
      <c r="F14" s="15" t="n">
        <f aca="false">IF(LEN(TRIM(E14))=0,0,LEN(TRIM(E14))-LEN(SUBSTITUTE(TRIM(E14)," ",""))+1)</f>
        <v>1</v>
      </c>
      <c r="G14" s="15" t="n">
        <f aca="false">D14+F14</f>
        <v>3</v>
      </c>
      <c r="H14" s="15" t="n">
        <v>5</v>
      </c>
      <c r="I14" s="15" t="str">
        <f aca="false">IF(G14&gt;H14,"تجاوز الحد","ضمن الحد")</f>
        <v>ضمن الحد</v>
      </c>
      <c r="J14" s="15" t="s">
        <v>135</v>
      </c>
    </row>
    <row r="15" customFormat="false" ht="15" hidden="false" customHeight="true" outlineLevel="0" collapsed="false">
      <c r="A15" s="15" t="s">
        <v>98</v>
      </c>
      <c r="B15" s="15" t="s">
        <v>15</v>
      </c>
      <c r="C15" s="15" t="s">
        <v>150</v>
      </c>
      <c r="D15" s="15" t="n">
        <f aca="false">IF(LEN(TRIM(C15))=0,0,LEN(TRIM(C15))-LEN(SUBSTITUTE(TRIM(C15)," ",""))+1)</f>
        <v>1</v>
      </c>
      <c r="E15" s="15" t="s">
        <v>151</v>
      </c>
      <c r="F15" s="15" t="n">
        <f aca="false">IF(LEN(TRIM(E15))=0,0,LEN(TRIM(E15))-LEN(SUBSTITUTE(TRIM(E15)," ",""))+1)</f>
        <v>1</v>
      </c>
      <c r="G15" s="15" t="n">
        <f aca="false">D15+F15</f>
        <v>2</v>
      </c>
      <c r="H15" s="15" t="n">
        <v>5</v>
      </c>
      <c r="I15" s="15" t="str">
        <f aca="false">IF(G15&gt;H15,"تجاوز الحد","ضمن الحد")</f>
        <v>ضمن الحد</v>
      </c>
      <c r="J15" s="15" t="s">
        <v>137</v>
      </c>
    </row>
    <row r="16" customFormat="false" ht="15" hidden="false" customHeight="true" outlineLevel="0" collapsed="false">
      <c r="A16" s="15" t="s">
        <v>102</v>
      </c>
      <c r="B16" s="15" t="s">
        <v>15</v>
      </c>
      <c r="C16" s="15" t="s">
        <v>161</v>
      </c>
      <c r="D16" s="15" t="n">
        <f aca="false">IF(LEN(TRIM(C16))=0,0,LEN(TRIM(C16))-LEN(SUBSTITUTE(TRIM(C16)," ",""))+1)</f>
        <v>2</v>
      </c>
      <c r="E16" s="15" t="s">
        <v>151</v>
      </c>
      <c r="F16" s="15" t="n">
        <f aca="false">IF(LEN(TRIM(E16))=0,0,LEN(TRIM(E16))-LEN(SUBSTITUTE(TRIM(E16)," ",""))+1)</f>
        <v>1</v>
      </c>
      <c r="G16" s="15" t="n">
        <f aca="false">D16+F16</f>
        <v>3</v>
      </c>
      <c r="H16" s="15" t="n">
        <v>5</v>
      </c>
      <c r="I16" s="15" t="str">
        <f aca="false">IF(G16&gt;H16,"تجاوز الحد","ضمن الحد")</f>
        <v>ضمن الحد</v>
      </c>
      <c r="J16" s="15" t="s">
        <v>139</v>
      </c>
    </row>
    <row r="17" customFormat="false" ht="15" hidden="false" customHeight="true" outlineLevel="0" collapsed="false">
      <c r="A17" s="15" t="s">
        <v>105</v>
      </c>
      <c r="B17" s="15" t="s">
        <v>15</v>
      </c>
      <c r="C17" s="15" t="s">
        <v>162</v>
      </c>
      <c r="D17" s="15" t="n">
        <f aca="false">IF(LEN(TRIM(C17))=0,0,LEN(TRIM(C17))-LEN(SUBSTITUTE(TRIM(C17)," ",""))+1)</f>
        <v>2</v>
      </c>
      <c r="E17" s="15" t="s">
        <v>151</v>
      </c>
      <c r="F17" s="15" t="n">
        <f aca="false">IF(LEN(TRIM(E17))=0,0,LEN(TRIM(E17))-LEN(SUBSTITUTE(TRIM(E17)," ",""))+1)</f>
        <v>1</v>
      </c>
      <c r="G17" s="15" t="n">
        <f aca="false">D17+F17</f>
        <v>3</v>
      </c>
      <c r="H17" s="15" t="n">
        <v>5</v>
      </c>
      <c r="I17" s="15" t="str">
        <f aca="false">IF(G17&gt;H17,"تجاوز الحد","ضمن الحد")</f>
        <v>ضمن الحد</v>
      </c>
      <c r="J17" s="15" t="s">
        <v>141</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 min="2" style="1" width="12"/>
    <col collapsed="false" customWidth="true" hidden="false" outlineLevel="0" max="4" min="4" style="1" width="40"/>
    <col collapsed="false" customWidth="true" hidden="false" outlineLevel="0" max="6" min="5" style="1" width="60"/>
    <col collapsed="false" customWidth="true" hidden="false" outlineLevel="0" max="7" min="7" style="1" width="22"/>
  </cols>
  <sheetData>
    <row r="1" customFormat="false" ht="27.75" hidden="false" customHeight="true" outlineLevel="0" collapsed="false">
      <c r="A1" s="2" t="s">
        <v>163</v>
      </c>
      <c r="B1" s="2"/>
      <c r="C1" s="2"/>
      <c r="D1" s="2"/>
      <c r="E1" s="2"/>
      <c r="F1" s="2"/>
      <c r="G1" s="2"/>
    </row>
    <row r="2" customFormat="false" ht="15" hidden="false" customHeight="true" outlineLevel="0" collapsed="false">
      <c r="A2" s="7" t="s">
        <v>42</v>
      </c>
      <c r="B2" s="7" t="s">
        <v>28</v>
      </c>
      <c r="C2" s="7" t="s">
        <v>164</v>
      </c>
      <c r="D2" s="7" t="s">
        <v>165</v>
      </c>
      <c r="E2" s="7" t="s">
        <v>166</v>
      </c>
      <c r="F2" s="7" t="s">
        <v>167</v>
      </c>
      <c r="G2" s="7" t="s">
        <v>168</v>
      </c>
    </row>
    <row r="3" customFormat="false" ht="57" hidden="false" customHeight="true" outlineLevel="0" collapsed="false">
      <c r="A3" s="15" t="s">
        <v>48</v>
      </c>
      <c r="B3" s="15" t="s">
        <v>15</v>
      </c>
      <c r="C3" s="15" t="s">
        <v>169</v>
      </c>
      <c r="D3" s="15" t="s">
        <v>170</v>
      </c>
      <c r="E3" s="15" t="s">
        <v>171</v>
      </c>
      <c r="F3" s="15" t="s">
        <v>172</v>
      </c>
      <c r="G3" s="15" t="s">
        <v>52</v>
      </c>
    </row>
    <row r="4" customFormat="false" ht="34.5" hidden="false" customHeight="true" outlineLevel="0" collapsed="false">
      <c r="A4" s="15" t="s">
        <v>53</v>
      </c>
      <c r="B4" s="15" t="s">
        <v>15</v>
      </c>
      <c r="C4" s="15" t="s">
        <v>169</v>
      </c>
      <c r="D4" s="15" t="s">
        <v>173</v>
      </c>
      <c r="E4" s="15" t="s">
        <v>174</v>
      </c>
      <c r="F4" s="15" t="s">
        <v>175</v>
      </c>
      <c r="G4" s="15" t="s">
        <v>57</v>
      </c>
    </row>
    <row r="5" customFormat="false" ht="57" hidden="false" customHeight="true" outlineLevel="0" collapsed="false">
      <c r="A5" s="15" t="s">
        <v>59</v>
      </c>
      <c r="B5" s="15" t="s">
        <v>15</v>
      </c>
      <c r="C5" s="15" t="s">
        <v>169</v>
      </c>
      <c r="D5" s="15" t="s">
        <v>176</v>
      </c>
      <c r="E5" s="15" t="s">
        <v>177</v>
      </c>
      <c r="F5" s="15" t="s">
        <v>178</v>
      </c>
      <c r="G5" s="15" t="s">
        <v>63</v>
      </c>
    </row>
    <row r="6" customFormat="false" ht="34.5" hidden="false" customHeight="true" outlineLevel="0" collapsed="false">
      <c r="A6" s="15" t="s">
        <v>64</v>
      </c>
      <c r="B6" s="15" t="s">
        <v>15</v>
      </c>
      <c r="C6" s="15" t="s">
        <v>169</v>
      </c>
      <c r="D6" s="15" t="s">
        <v>179</v>
      </c>
      <c r="E6" s="15" t="s">
        <v>180</v>
      </c>
      <c r="F6" s="15" t="s">
        <v>181</v>
      </c>
      <c r="G6" s="15" t="s">
        <v>68</v>
      </c>
    </row>
    <row r="7" customFormat="false" ht="45.75" hidden="false" customHeight="true" outlineLevel="0" collapsed="false">
      <c r="A7" s="15" t="s">
        <v>69</v>
      </c>
      <c r="B7" s="15" t="s">
        <v>15</v>
      </c>
      <c r="C7" s="15" t="s">
        <v>169</v>
      </c>
      <c r="D7" s="15" t="s">
        <v>182</v>
      </c>
      <c r="E7" s="15" t="s">
        <v>183</v>
      </c>
      <c r="F7" s="15" t="s">
        <v>184</v>
      </c>
      <c r="G7" s="15" t="s">
        <v>73</v>
      </c>
    </row>
    <row r="8" customFormat="false" ht="45.75" hidden="false" customHeight="true" outlineLevel="0" collapsed="false">
      <c r="A8" s="15" t="s">
        <v>75</v>
      </c>
      <c r="B8" s="15" t="s">
        <v>15</v>
      </c>
      <c r="C8" s="15" t="s">
        <v>169</v>
      </c>
      <c r="D8" s="15" t="s">
        <v>185</v>
      </c>
      <c r="E8" s="15" t="s">
        <v>186</v>
      </c>
      <c r="F8" s="15" t="s">
        <v>187</v>
      </c>
      <c r="G8" s="15" t="s">
        <v>63</v>
      </c>
    </row>
    <row r="9" customFormat="false" ht="45.75" hidden="false" customHeight="true" outlineLevel="0" collapsed="false">
      <c r="A9" s="15" t="s">
        <v>78</v>
      </c>
      <c r="B9" s="15" t="s">
        <v>15</v>
      </c>
      <c r="C9" s="15" t="s">
        <v>169</v>
      </c>
      <c r="D9" s="15" t="s">
        <v>188</v>
      </c>
      <c r="E9" s="15" t="s">
        <v>189</v>
      </c>
      <c r="F9" s="15" t="s">
        <v>190</v>
      </c>
      <c r="G9" s="15" t="s">
        <v>81</v>
      </c>
    </row>
    <row r="10" customFormat="false" ht="34.5" hidden="false" customHeight="true" outlineLevel="0" collapsed="false">
      <c r="A10" s="15" t="s">
        <v>82</v>
      </c>
      <c r="B10" s="15" t="s">
        <v>15</v>
      </c>
      <c r="C10" s="15" t="s">
        <v>169</v>
      </c>
      <c r="D10" s="15" t="s">
        <v>191</v>
      </c>
      <c r="E10" s="15" t="s">
        <v>192</v>
      </c>
      <c r="F10" s="15" t="s">
        <v>193</v>
      </c>
      <c r="G10" s="15" t="s">
        <v>85</v>
      </c>
    </row>
    <row r="11" customFormat="false" ht="45.75" hidden="false" customHeight="true" outlineLevel="0" collapsed="false">
      <c r="A11" s="15" t="s">
        <v>86</v>
      </c>
      <c r="B11" s="15" t="s">
        <v>15</v>
      </c>
      <c r="C11" s="15" t="s">
        <v>169</v>
      </c>
      <c r="D11" s="15" t="s">
        <v>194</v>
      </c>
      <c r="E11" s="15" t="s">
        <v>195</v>
      </c>
      <c r="F11" s="15" t="s">
        <v>196</v>
      </c>
      <c r="G11" s="15" t="s">
        <v>63</v>
      </c>
    </row>
    <row r="12" customFormat="false" ht="45.75" hidden="false" customHeight="true" outlineLevel="0" collapsed="false">
      <c r="A12" s="15" t="s">
        <v>88</v>
      </c>
      <c r="B12" s="15" t="s">
        <v>15</v>
      </c>
      <c r="C12" s="15" t="s">
        <v>169</v>
      </c>
      <c r="D12" s="15" t="s">
        <v>197</v>
      </c>
      <c r="E12" s="15" t="s">
        <v>198</v>
      </c>
      <c r="F12" s="15" t="s">
        <v>199</v>
      </c>
      <c r="G12" s="15" t="s">
        <v>91</v>
      </c>
    </row>
    <row r="13" customFormat="false" ht="45.75" hidden="false" customHeight="true" outlineLevel="0" collapsed="false">
      <c r="A13" s="15" t="s">
        <v>92</v>
      </c>
      <c r="B13" s="15" t="s">
        <v>15</v>
      </c>
      <c r="C13" s="15" t="s">
        <v>169</v>
      </c>
      <c r="D13" s="15" t="s">
        <v>200</v>
      </c>
      <c r="E13" s="15" t="s">
        <v>201</v>
      </c>
      <c r="F13" s="15" t="s">
        <v>202</v>
      </c>
      <c r="G13" s="15" t="s">
        <v>95</v>
      </c>
    </row>
    <row r="14" customFormat="false" ht="45.75" hidden="false" customHeight="true" outlineLevel="0" collapsed="false">
      <c r="A14" s="15" t="s">
        <v>96</v>
      </c>
      <c r="B14" s="15" t="s">
        <v>15</v>
      </c>
      <c r="C14" s="15" t="s">
        <v>169</v>
      </c>
      <c r="D14" s="15" t="s">
        <v>203</v>
      </c>
      <c r="E14" s="15" t="s">
        <v>204</v>
      </c>
      <c r="F14" s="15" t="s">
        <v>205</v>
      </c>
      <c r="G14" s="15" t="s">
        <v>63</v>
      </c>
    </row>
    <row r="15" customFormat="false" ht="45.75" hidden="false" customHeight="true" outlineLevel="0" collapsed="false">
      <c r="A15" s="15" t="s">
        <v>98</v>
      </c>
      <c r="B15" s="15" t="s">
        <v>15</v>
      </c>
      <c r="C15" s="15" t="s">
        <v>169</v>
      </c>
      <c r="D15" s="15" t="s">
        <v>206</v>
      </c>
      <c r="E15" s="15" t="s">
        <v>207</v>
      </c>
      <c r="F15" s="15" t="s">
        <v>208</v>
      </c>
      <c r="G15" s="15" t="s">
        <v>101</v>
      </c>
    </row>
    <row r="16" customFormat="false" ht="34.5" hidden="false" customHeight="true" outlineLevel="0" collapsed="false">
      <c r="A16" s="15" t="s">
        <v>102</v>
      </c>
      <c r="B16" s="15" t="s">
        <v>15</v>
      </c>
      <c r="C16" s="15" t="s">
        <v>169</v>
      </c>
      <c r="D16" s="15" t="s">
        <v>209</v>
      </c>
      <c r="E16" s="15" t="s">
        <v>210</v>
      </c>
      <c r="F16" s="15" t="s">
        <v>211</v>
      </c>
      <c r="G16" s="15" t="s">
        <v>104</v>
      </c>
    </row>
    <row r="17" customFormat="false" ht="45.75" hidden="false" customHeight="true" outlineLevel="0" collapsed="false">
      <c r="A17" s="15" t="s">
        <v>105</v>
      </c>
      <c r="B17" s="15" t="s">
        <v>15</v>
      </c>
      <c r="C17" s="15" t="s">
        <v>169</v>
      </c>
      <c r="D17" s="15" t="s">
        <v>212</v>
      </c>
      <c r="E17" s="15" t="s">
        <v>213</v>
      </c>
      <c r="F17" s="15" t="s">
        <v>214</v>
      </c>
      <c r="G17" s="15" t="s">
        <v>63</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4" min="3" style="1" width="44"/>
    <col collapsed="false" customWidth="true" hidden="false" outlineLevel="0" max="5" min="5" style="1" width="18"/>
    <col collapsed="false" customWidth="true" hidden="false" outlineLevel="0" max="8" min="6" style="1" width="12"/>
  </cols>
  <sheetData>
    <row r="1" customFormat="false" ht="27.75" hidden="false" customHeight="true" outlineLevel="0" collapsed="false">
      <c r="A1" s="2" t="s">
        <v>215</v>
      </c>
      <c r="B1" s="2"/>
      <c r="C1" s="2"/>
      <c r="D1" s="2"/>
      <c r="E1" s="2"/>
      <c r="F1" s="2"/>
      <c r="G1" s="2"/>
      <c r="H1" s="2"/>
    </row>
    <row r="2" customFormat="false" ht="15" hidden="false" customHeight="true" outlineLevel="0" collapsed="false">
      <c r="A2" s="7" t="s">
        <v>42</v>
      </c>
      <c r="B2" s="7" t="s">
        <v>28</v>
      </c>
      <c r="C2" s="7" t="s">
        <v>216</v>
      </c>
      <c r="D2" s="7" t="s">
        <v>217</v>
      </c>
      <c r="E2" s="7" t="s">
        <v>218</v>
      </c>
      <c r="F2" s="7" t="s">
        <v>219</v>
      </c>
      <c r="G2" s="7" t="s">
        <v>220</v>
      </c>
      <c r="H2" s="7" t="s">
        <v>221</v>
      </c>
    </row>
    <row r="3" customFormat="false" ht="15" hidden="false" customHeight="true" outlineLevel="0" collapsed="false">
      <c r="A3" s="15" t="s">
        <v>48</v>
      </c>
      <c r="B3" s="15" t="s">
        <v>15</v>
      </c>
      <c r="C3" s="15" t="s">
        <v>50</v>
      </c>
      <c r="D3" s="15" t="s">
        <v>222</v>
      </c>
      <c r="E3" s="15" t="s">
        <v>223</v>
      </c>
      <c r="F3" s="17"/>
      <c r="G3" s="17"/>
      <c r="H3" s="15" t="str">
        <f aca="false">IF(OR(F3="",G3=""),"",IF(F3&gt;G3,"A",IF(G3&gt;F3,"B","تعادل")))</f>
        <v/>
      </c>
    </row>
    <row r="4" customFormat="false" ht="15" hidden="false" customHeight="true" outlineLevel="0" collapsed="false">
      <c r="A4" s="15" t="s">
        <v>53</v>
      </c>
      <c r="B4" s="15" t="s">
        <v>15</v>
      </c>
      <c r="C4" s="15" t="s">
        <v>55</v>
      </c>
      <c r="D4" s="15" t="s">
        <v>222</v>
      </c>
      <c r="E4" s="15" t="s">
        <v>223</v>
      </c>
      <c r="F4" s="17"/>
      <c r="G4" s="17"/>
      <c r="H4" s="15" t="str">
        <f aca="false">IF(OR(F4="",G4=""),"",IF(F4&gt;G4,"A",IF(G4&gt;F4,"B","تعادل")))</f>
        <v/>
      </c>
    </row>
    <row r="5" customFormat="false" ht="15" hidden="false" customHeight="true" outlineLevel="0" collapsed="false">
      <c r="A5" s="15" t="s">
        <v>59</v>
      </c>
      <c r="B5" s="15" t="s">
        <v>15</v>
      </c>
      <c r="C5" s="15" t="s">
        <v>61</v>
      </c>
      <c r="D5" s="15" t="s">
        <v>222</v>
      </c>
      <c r="E5" s="15" t="s">
        <v>223</v>
      </c>
      <c r="F5" s="17"/>
      <c r="G5" s="17"/>
      <c r="H5" s="15" t="str">
        <f aca="false">IF(OR(F5="",G5=""),"",IF(F5&gt;G5,"A",IF(G5&gt;F5,"B","تعادل")))</f>
        <v/>
      </c>
    </row>
    <row r="6" customFormat="false" ht="15" hidden="false" customHeight="true" outlineLevel="0" collapsed="false">
      <c r="A6" s="15" t="s">
        <v>64</v>
      </c>
      <c r="B6" s="15" t="s">
        <v>15</v>
      </c>
      <c r="C6" s="15" t="s">
        <v>66</v>
      </c>
      <c r="D6" s="15" t="s">
        <v>222</v>
      </c>
      <c r="E6" s="15" t="s">
        <v>223</v>
      </c>
      <c r="F6" s="17"/>
      <c r="G6" s="17"/>
      <c r="H6" s="15" t="str">
        <f aca="false">IF(OR(F6="",G6=""),"",IF(F6&gt;G6,"A",IF(G6&gt;F6,"B","تعادل")))</f>
        <v/>
      </c>
    </row>
    <row r="7" customFormat="false" ht="15" hidden="false" customHeight="true" outlineLevel="0" collapsed="false">
      <c r="A7" s="15" t="s">
        <v>69</v>
      </c>
      <c r="B7" s="15" t="s">
        <v>15</v>
      </c>
      <c r="C7" s="15" t="s">
        <v>71</v>
      </c>
      <c r="D7" s="15" t="s">
        <v>222</v>
      </c>
      <c r="E7" s="15" t="s">
        <v>223</v>
      </c>
      <c r="F7" s="17"/>
      <c r="G7" s="17"/>
      <c r="H7" s="15" t="str">
        <f aca="false">IF(OR(F7="",G7=""),"",IF(F7&gt;G7,"A",IF(G7&gt;F7,"B","تعادل")))</f>
        <v/>
      </c>
    </row>
    <row r="8" customFormat="false" ht="15" hidden="false" customHeight="true" outlineLevel="0" collapsed="false">
      <c r="A8" s="15" t="s">
        <v>75</v>
      </c>
      <c r="B8" s="15" t="s">
        <v>15</v>
      </c>
      <c r="C8" s="15" t="s">
        <v>77</v>
      </c>
      <c r="D8" s="15" t="s">
        <v>222</v>
      </c>
      <c r="E8" s="15" t="s">
        <v>223</v>
      </c>
      <c r="F8" s="17"/>
      <c r="G8" s="17"/>
      <c r="H8" s="15" t="str">
        <f aca="false">IF(OR(F8="",G8=""),"",IF(F8&gt;G8,"A",IF(G8&gt;F8,"B","تعادل")))</f>
        <v/>
      </c>
    </row>
    <row r="9" customFormat="false" ht="15" hidden="false" customHeight="true" outlineLevel="0" collapsed="false">
      <c r="A9" s="15" t="s">
        <v>78</v>
      </c>
      <c r="B9" s="15" t="s">
        <v>15</v>
      </c>
      <c r="C9" s="15" t="s">
        <v>80</v>
      </c>
      <c r="D9" s="15" t="s">
        <v>222</v>
      </c>
      <c r="E9" s="15" t="s">
        <v>223</v>
      </c>
      <c r="F9" s="17"/>
      <c r="G9" s="17"/>
      <c r="H9" s="15" t="str">
        <f aca="false">IF(OR(F9="",G9=""),"",IF(F9&gt;G9,"A",IF(G9&gt;F9,"B","تعادل")))</f>
        <v/>
      </c>
    </row>
    <row r="10" customFormat="false" ht="15" hidden="false" customHeight="true" outlineLevel="0" collapsed="false">
      <c r="A10" s="15" t="s">
        <v>82</v>
      </c>
      <c r="B10" s="15" t="s">
        <v>15</v>
      </c>
      <c r="C10" s="15" t="s">
        <v>83</v>
      </c>
      <c r="D10" s="15" t="s">
        <v>222</v>
      </c>
      <c r="E10" s="15" t="s">
        <v>223</v>
      </c>
      <c r="F10" s="17"/>
      <c r="G10" s="17"/>
      <c r="H10" s="15" t="str">
        <f aca="false">IF(OR(F10="",G10=""),"",IF(F10&gt;G10,"A",IF(G10&gt;F10,"B","تعادل")))</f>
        <v/>
      </c>
    </row>
    <row r="11" customFormat="false" ht="15" hidden="false" customHeight="true" outlineLevel="0" collapsed="false">
      <c r="A11" s="15" t="s">
        <v>86</v>
      </c>
      <c r="B11" s="15" t="s">
        <v>15</v>
      </c>
      <c r="C11" s="15" t="s">
        <v>87</v>
      </c>
      <c r="D11" s="15" t="s">
        <v>222</v>
      </c>
      <c r="E11" s="15" t="s">
        <v>223</v>
      </c>
      <c r="F11" s="17"/>
      <c r="G11" s="17"/>
      <c r="H11" s="15" t="str">
        <f aca="false">IF(OR(F11="",G11=""),"",IF(F11&gt;G11,"A",IF(G11&gt;F11,"B","تعادل")))</f>
        <v/>
      </c>
    </row>
    <row r="12" customFormat="false" ht="15" hidden="false" customHeight="true" outlineLevel="0" collapsed="false">
      <c r="A12" s="15" t="s">
        <v>88</v>
      </c>
      <c r="B12" s="15" t="s">
        <v>15</v>
      </c>
      <c r="C12" s="15" t="s">
        <v>89</v>
      </c>
      <c r="D12" s="15" t="s">
        <v>222</v>
      </c>
      <c r="E12" s="15" t="s">
        <v>223</v>
      </c>
      <c r="F12" s="17"/>
      <c r="G12" s="17"/>
      <c r="H12" s="15" t="str">
        <f aca="false">IF(OR(F12="",G12=""),"",IF(F12&gt;G12,"A",IF(G12&gt;F12,"B","تعادل")))</f>
        <v/>
      </c>
    </row>
    <row r="13" customFormat="false" ht="15" hidden="false" customHeight="true" outlineLevel="0" collapsed="false">
      <c r="A13" s="15" t="s">
        <v>92</v>
      </c>
      <c r="B13" s="15" t="s">
        <v>15</v>
      </c>
      <c r="C13" s="15" t="s">
        <v>93</v>
      </c>
      <c r="D13" s="15" t="s">
        <v>222</v>
      </c>
      <c r="E13" s="15" t="s">
        <v>223</v>
      </c>
      <c r="F13" s="17"/>
      <c r="G13" s="17"/>
      <c r="H13" s="15" t="str">
        <f aca="false">IF(OR(F13="",G13=""),"",IF(F13&gt;G13,"A",IF(G13&gt;F13,"B","تعادل")))</f>
        <v/>
      </c>
    </row>
    <row r="14" customFormat="false" ht="15" hidden="false" customHeight="true" outlineLevel="0" collapsed="false">
      <c r="A14" s="15" t="s">
        <v>96</v>
      </c>
      <c r="B14" s="15" t="s">
        <v>15</v>
      </c>
      <c r="C14" s="15" t="s">
        <v>97</v>
      </c>
      <c r="D14" s="15" t="s">
        <v>222</v>
      </c>
      <c r="E14" s="15" t="s">
        <v>223</v>
      </c>
      <c r="F14" s="17"/>
      <c r="G14" s="17"/>
      <c r="H14" s="15" t="str">
        <f aca="false">IF(OR(F14="",G14=""),"",IF(F14&gt;G14,"A",IF(G14&gt;F14,"B","تعادل")))</f>
        <v/>
      </c>
    </row>
    <row r="15" customFormat="false" ht="15" hidden="false" customHeight="true" outlineLevel="0" collapsed="false">
      <c r="A15" s="15" t="s">
        <v>98</v>
      </c>
      <c r="B15" s="15" t="s">
        <v>15</v>
      </c>
      <c r="C15" s="15" t="s">
        <v>99</v>
      </c>
      <c r="D15" s="15" t="s">
        <v>222</v>
      </c>
      <c r="E15" s="15" t="s">
        <v>223</v>
      </c>
      <c r="F15" s="17"/>
      <c r="G15" s="17"/>
      <c r="H15" s="15" t="str">
        <f aca="false">IF(OR(F15="",G15=""),"",IF(F15&gt;G15,"A",IF(G15&gt;F15,"B","تعادل")))</f>
        <v/>
      </c>
    </row>
    <row r="16" customFormat="false" ht="15" hidden="false" customHeight="true" outlineLevel="0" collapsed="false">
      <c r="A16" s="15" t="s">
        <v>102</v>
      </c>
      <c r="B16" s="15" t="s">
        <v>15</v>
      </c>
      <c r="C16" s="15" t="s">
        <v>103</v>
      </c>
      <c r="D16" s="15" t="s">
        <v>222</v>
      </c>
      <c r="E16" s="15" t="s">
        <v>223</v>
      </c>
      <c r="F16" s="17"/>
      <c r="G16" s="17"/>
      <c r="H16" s="15" t="str">
        <f aca="false">IF(OR(F16="",G16=""),"",IF(F16&gt;G16,"A",IF(G16&gt;F16,"B","تعادل")))</f>
        <v/>
      </c>
    </row>
    <row r="17" customFormat="false" ht="15" hidden="false" customHeight="true" outlineLevel="0" collapsed="false">
      <c r="A17" s="15" t="s">
        <v>105</v>
      </c>
      <c r="B17" s="15" t="s">
        <v>15</v>
      </c>
      <c r="C17" s="15" t="s">
        <v>106</v>
      </c>
      <c r="D17" s="15" t="s">
        <v>222</v>
      </c>
      <c r="E17" s="15" t="s">
        <v>223</v>
      </c>
      <c r="F17" s="17"/>
      <c r="G17" s="17"/>
      <c r="H17" s="15" t="str">
        <f aca="false">IF(OR(F17="",G17=""),"",IF(F17&gt;G17,"A",IF(G17&gt;F17,"B","تعادل")))</f>
        <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80"/>
  </cols>
  <sheetData>
    <row r="1" customFormat="false" ht="27.75" hidden="false" customHeight="true" outlineLevel="0" collapsed="false">
      <c r="A1" s="2" t="s">
        <v>224</v>
      </c>
      <c r="B1" s="2"/>
    </row>
    <row r="3" customFormat="false" ht="15" hidden="false" customHeight="true" outlineLevel="0" collapsed="false">
      <c r="A3" s="4" t="s">
        <v>225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3" min="3" style="1" width="14"/>
    <col collapsed="false" customWidth="true" hidden="false" outlineLevel="0" max="4" min="4" style="1" width="16"/>
    <col collapsed="false" customWidth="true" hidden="false" outlineLevel="0" max="5" min="5" style="1" width="14"/>
    <col collapsed="false" customWidth="true" hidden="false" outlineLevel="0" max="6" min="6" style="1" width="30"/>
  </cols>
  <sheetData>
    <row r="1" customFormat="false" ht="27.75" hidden="false" customHeight="true" outlineLevel="0" collapsed="false">
      <c r="A1" s="2" t="s">
        <v>226</v>
      </c>
      <c r="B1" s="2"/>
      <c r="C1" s="2"/>
      <c r="D1" s="2"/>
      <c r="E1" s="2"/>
      <c r="F1" s="2"/>
    </row>
    <row r="2" customFormat="false" ht="15" hidden="false" customHeight="true" outlineLevel="0" collapsed="false">
      <c r="A2" s="7" t="s">
        <v>17</v>
      </c>
      <c r="B2" s="7" t="s">
        <v>227</v>
      </c>
      <c r="C2" s="7" t="s">
        <v>1</v>
      </c>
      <c r="D2" s="7" t="s">
        <v>228</v>
      </c>
      <c r="E2" s="7" t="s">
        <v>229</v>
      </c>
      <c r="F2" s="7" t="s">
        <v>230</v>
      </c>
    </row>
    <row r="3" customFormat="false" ht="15" hidden="false" customHeight="true" outlineLevel="0" collapsed="false">
      <c r="A3" s="15" t="s">
        <v>24</v>
      </c>
      <c r="B3" s="15" t="s">
        <v>231</v>
      </c>
      <c r="C3" s="15" t="n">
        <v>60</v>
      </c>
      <c r="D3" s="17"/>
      <c r="E3" s="18" t="str">
        <f aca="false">IF(OR(C3="",D3=""),"",D3/C3)</f>
        <v/>
      </c>
      <c r="F3" s="15"/>
    </row>
    <row r="4" customFormat="false" ht="15" hidden="false" customHeight="true" outlineLevel="0" collapsed="false">
      <c r="A4" s="15" t="s">
        <v>26</v>
      </c>
      <c r="B4" s="15" t="s">
        <v>232</v>
      </c>
      <c r="C4" s="15" t="n">
        <v>20</v>
      </c>
      <c r="D4" s="17"/>
      <c r="E4" s="18" t="str">
        <f aca="false">IF(OR(C4="",D4=""),"",D4/C4)</f>
        <v/>
      </c>
      <c r="F4" s="15"/>
    </row>
    <row r="5" customFormat="false" ht="15" hidden="false" customHeight="true" outlineLevel="0" collapsed="false">
      <c r="A5" s="15" t="s">
        <v>23</v>
      </c>
      <c r="B5" s="15" t="s">
        <v>233</v>
      </c>
      <c r="C5" s="15" t="n">
        <v>40</v>
      </c>
      <c r="D5" s="17"/>
      <c r="E5" s="18" t="str">
        <f aca="false">IF(OR(C5="",D5=""),"",D5/C5)</f>
        <v/>
      </c>
      <c r="F5" s="15"/>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4" min="2" style="1" width="18"/>
    <col collapsed="false" customWidth="true" hidden="false" outlineLevel="0" max="5" min="5" style="1" width="20"/>
    <col collapsed="false" customWidth="true" hidden="false" outlineLevel="0" max="6" min="6" style="1" width="42"/>
  </cols>
  <sheetData>
    <row r="1" customFormat="false" ht="27.75" hidden="false" customHeight="true" outlineLevel="0" collapsed="false">
      <c r="A1" s="2" t="s">
        <v>234</v>
      </c>
      <c r="B1" s="2"/>
      <c r="C1" s="2"/>
      <c r="D1" s="2"/>
      <c r="E1" s="2"/>
      <c r="F1" s="2"/>
    </row>
    <row r="2" customFormat="false" ht="15" hidden="false" customHeight="true" outlineLevel="0" collapsed="false">
      <c r="A2" s="7" t="s">
        <v>28</v>
      </c>
      <c r="B2" s="7" t="s">
        <v>235</v>
      </c>
      <c r="C2" s="7" t="s">
        <v>147</v>
      </c>
      <c r="D2" s="7" t="s">
        <v>236</v>
      </c>
      <c r="E2" s="7" t="s">
        <v>237</v>
      </c>
      <c r="F2" s="7" t="s">
        <v>238</v>
      </c>
    </row>
    <row r="3" customFormat="false" ht="15" hidden="false" customHeight="true" outlineLevel="0" collapsed="false">
      <c r="A3" s="15" t="s">
        <v>15</v>
      </c>
      <c r="B3" s="15" t="n">
        <v>2000</v>
      </c>
      <c r="C3" s="15" t="n">
        <v>500</v>
      </c>
      <c r="D3" s="15" t="n">
        <v>5</v>
      </c>
      <c r="E3" s="15" t="n">
        <v>120</v>
      </c>
      <c r="F3" s="15" t="s">
        <v>239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80"/>
  </cols>
  <sheetData>
    <row r="1" customFormat="false" ht="27.75" hidden="false" customHeight="true" outlineLevel="0" collapsed="false">
      <c r="A1" s="2" t="s">
        <v>240</v>
      </c>
      <c r="B1" s="2"/>
    </row>
    <row r="2" customFormat="false" ht="15" hidden="false" customHeight="true" outlineLevel="0" collapsed="false">
      <c r="A2" s="7" t="s">
        <v>241</v>
      </c>
      <c r="B2" s="7" t="s">
        <v>242</v>
      </c>
    </row>
    <row r="3" customFormat="false" ht="15" hidden="false" customHeight="true" outlineLevel="0" collapsed="false">
      <c r="A3" s="15" t="s">
        <v>243</v>
      </c>
      <c r="B3" s="15" t="s">
        <v>244</v>
      </c>
    </row>
    <row r="4" customFormat="false" ht="15" hidden="false" customHeight="true" outlineLevel="0" collapsed="false">
      <c r="A4" s="15" t="s">
        <v>245</v>
      </c>
      <c r="B4" s="15" t="s">
        <v>244</v>
      </c>
    </row>
    <row r="5" customFormat="false" ht="15" hidden="false" customHeight="true" outlineLevel="0" collapsed="false">
      <c r="A5" s="15" t="s">
        <v>246</v>
      </c>
      <c r="B5" s="15" t="s">
        <v>247</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2"/>
    <col collapsed="false" customWidth="true" hidden="false" outlineLevel="0" max="4" min="4" style="1" width="80"/>
  </cols>
  <sheetData>
    <row r="1" customFormat="false" ht="27.75" hidden="false" customHeight="true" outlineLevel="0" collapsed="false">
      <c r="A1" s="2" t="s">
        <v>248</v>
      </c>
      <c r="B1" s="2"/>
      <c r="C1" s="2"/>
      <c r="D1" s="2"/>
    </row>
    <row r="2" customFormat="false" ht="15" hidden="false" customHeight="true" outlineLevel="0" collapsed="false">
      <c r="A2" s="7" t="s">
        <v>249</v>
      </c>
      <c r="B2" s="7" t="s">
        <v>28</v>
      </c>
      <c r="C2" s="7" t="s">
        <v>250</v>
      </c>
      <c r="D2" s="7" t="s">
        <v>251</v>
      </c>
    </row>
    <row r="3" customFormat="false" ht="15" hidden="false" customHeight="true" outlineLevel="0" collapsed="false">
      <c r="A3" s="15" t="s">
        <v>222</v>
      </c>
      <c r="B3" s="15" t="s">
        <v>222</v>
      </c>
      <c r="C3" s="15" t="s">
        <v>252</v>
      </c>
      <c r="D3" s="15" t="s">
        <v>253</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2026-10-20T09:15:55Z</dcterms:created>
  <dc:creator>openpyxl</dc:creator>
  <dc:description/>
  <dc:language>en-US</dc:language>
  <cp:lastModifiedBy/>
  <dcterms:modified xsi:type="dcterms:W3CDTF">2026-10-20T09:16:05Z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