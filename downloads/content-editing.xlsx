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لوحة" sheetId="1" state="visible" r:id="rId3"/>
    <sheet name="النصوص" sheetId="2" state="visible" r:id="rId4"/>
    <sheet name="المقاييس" sheetId="3" state="visible" r:id="rId5"/>
    <sheet name="الكليشيهات المكتشفة" sheetId="4" state="visible" r:id="rId6"/>
    <sheet name="القاموس" sheetId="5" state="visible" r:id="rId7"/>
    <sheet name="الأنماط" sheetId="6" state="visible" r:id="rId8"/>
    <sheet name="قائمة الفحص" sheetId="7" state="visible" r:id="rId9"/>
    <sheet name="الفحص" sheetId="8" state="visible" r:id="rId10"/>
  </sheets>
  <definedNames>
    <definedName function="false" hidden="true" localSheetId="4" name="_xlnm._FilterDatabase" vbProcedure="false">القاموس!$A$2:$G$61</definedName>
    <definedName function="false" hidden="true" localSheetId="1" name="_xlnm._FilterDatabase" vbProcedure="false">النصوص!$A$2:$R$20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<sst xmlns="http://schemas.openxmlformats.org/spreadsheetml/2006/main" count="723" uniqueCount="478">
  <si>
    <t xml:space="preserve">لوحة التحرير: حملة إدراك الهندسية – التكييف على فيسبوك (باللهجة السودانية)</t>
  </si>
  <si>
    <t xml:space="preserve">عدد النصوص</t>
  </si>
  <si>
    <t xml:space="preserve">متوسط درجة البشرية قبل</t>
  </si>
  <si>
    <t xml:space="preserve">متوسط درجة البشرية بعد</t>
  </si>
  <si>
    <t xml:space="preserve">متوسط التحسن</t>
  </si>
  <si>
    <t xml:space="preserve">إجمالي الكليشيهات قبل</t>
  </si>
  <si>
    <t xml:space="preserve">إجمالي الكليشيهات بعد</t>
  </si>
  <si>
    <t xml:space="preserve">متوسط طول الجملة قبل</t>
  </si>
  <si>
    <t xml:space="preserve">متوسط طول الجملة بعد</t>
  </si>
  <si>
    <t xml:space="preserve">نصوص بالعربية</t>
  </si>
  <si>
    <t xml:space="preserve">نصوص بالإنجليزية</t>
  </si>
  <si>
    <t xml:space="preserve">توزيع الأنماط</t>
  </si>
  <si>
    <t xml:space="preserve">النمط</t>
  </si>
  <si>
    <t xml:space="preserve">رسمي مباشر</t>
  </si>
  <si>
    <t xml:space="preserve">ودي دافئ</t>
  </si>
  <si>
    <t xml:space="preserve">تسويقي مقنع</t>
  </si>
  <si>
    <t xml:space="preserve">مرح تفاعلي</t>
  </si>
  <si>
    <t xml:space="preserve">تثقيفي قصصي</t>
  </si>
  <si>
    <t xml:space="preserve">النصوص وقياساتها قبل وبعد التعديل</t>
  </si>
  <si>
    <t xml:space="preserve">المعرف</t>
  </si>
  <si>
    <t xml:space="preserve">العنوان</t>
  </si>
  <si>
    <t xml:space="preserve">اللغة</t>
  </si>
  <si>
    <t xml:space="preserve">اللهجة</t>
  </si>
  <si>
    <t xml:space="preserve">المنصة</t>
  </si>
  <si>
    <t xml:space="preserve">كلمات قبل</t>
  </si>
  <si>
    <t xml:space="preserve">كلمات بعد</t>
  </si>
  <si>
    <t xml:space="preserve">متوسط الجملة قبل</t>
  </si>
  <si>
    <t xml:space="preserve">متوسط الجملة بعد</t>
  </si>
  <si>
    <t xml:space="preserve">كليشيهات قبل</t>
  </si>
  <si>
    <t xml:space="preserve">كليشيهات بعد</t>
  </si>
  <si>
    <t xml:space="preserve">درجة البشرية قبل</t>
  </si>
  <si>
    <t xml:space="preserve">درجة البشرية بعد</t>
  </si>
  <si>
    <t xml:space="preserve">التحسن</t>
  </si>
  <si>
    <t xml:space="preserve">تغيّر الكليشيهات</t>
  </si>
  <si>
    <t xml:space="preserve">النص الأصلي</t>
  </si>
  <si>
    <t xml:space="preserve">النص المعدّل</t>
  </si>
  <si>
    <t xml:space="preserve">P01</t>
  </si>
  <si>
    <t xml:space="preserve">P01 — 2026-11-01 — منشور صورة</t>
  </si>
  <si>
    <t xml:space="preserve">العربية</t>
  </si>
  <si>
    <t xml:space="preserve">سودانية</t>
  </si>
  <si>
    <t xml:space="preserve">فيسبوك</t>
  </si>
  <si>
    <t xml:space="preserve">يا جماعة، المكيف ما بيبرد بس بالجهاز... التركيب الصح هو الفرق!
في إدراك الهندسية نؤمن إن جودة التبريد تبدأ من التوريد والتركيب السليم، وتستمر بالصيانة الدورية. نقدم توريد وتركيب وصيانة أجهزة التكييف والتبريد بمختلف أنواعها، مع فنيين ذوي خبرة وإشراف هندسي متخصص. الحقيقة تفوق التوقعات.
كلمونا الآن: 0120066904 أو 0120066903</t>
  </si>
  <si>
    <t xml:space="preserve">يا جماعة، المكيف ما بيبرد بس بالجهاز... التركيب الصح هو الفرق!
والله الكلام ده بنقوله من خبرة: البرودة الحلوة بتبدأ من التوريد والتركيب الصح، وبعدين الصيانة الدورية بتحافظ عليها. إدراك الهندسية بتوفر وبتركب وبتصون كل أنواع المكيفات والتبريد، بفنيين عارفين شغلهم وتحت إشراف مهندسين. الحقيقة تفوق التوقعات.
كلمونا هسه: 0120066904 أو 0120066903</t>
  </si>
  <si>
    <t xml:space="preserve">P02</t>
  </si>
  <si>
    <t xml:space="preserve">P02 — 2026-11-02 — منشور نصي مع صورة</t>
  </si>
  <si>
    <t xml:space="preserve">شنو أكبر مشكلة عندك في المكيف هسه؟ 🤔
ضعف برودة؟ صوت عالي؟ ريحة غير طبيعية؟ ولا ماية بتقطر من الوحدة الداخلية؟ اكتب المشكلة في التعليقات، وبنرد عليك بنصيحة أولية. وإذا الحالة محتاجة معاينة، فريقنا جاهز يحدد السبب بدقة.
اكتب في التعليقات أو اتصل: 0120066904</t>
  </si>
  <si>
    <t xml:space="preserve">شنو أكبر مشكلة عندك في المكيف هسه؟ 🤔
ضعف برودة ولا صوت عالي؟ ريحة غريبة ولا مية بتقطر من الوحدة الداخلية؟
اكتب المشكلة في الكومنتات. نرد عليك بنصيحة أولية.
ولو الحالة محتاجة معاينة، الفريق بتاعنا جاهز يعرف السبب بدقة.
اكتب في الكومنتات ولا اتصل: 0120066904</t>
  </si>
  <si>
    <t xml:space="preserve">P03</t>
  </si>
  <si>
    <t xml:space="preserve">P03 — 2026-11-03 — منشور صورة منتج</t>
  </si>
  <si>
    <t xml:space="preserve">من البيت الصغير لحد المحل التجاري... عندنا مكيفات O General.
نوفر مكيفات براند O General بأحجام وأنواع مختلفة، ونتولى توريدها وتركيبها وصيانتها. نحدد الموديل المناسب لمساحة مكانك بعد المعاينة، لأن الاختيار الصح يحافظ على البرودة ويساعد على استهلاك كهرباء أفضل.
اطلب معاينة لمكانك: 0120066904 أو 0120066903</t>
  </si>
  <si>
    <t xml:space="preserve">من الأوضة الصغيرة لحد المحل التجاري... عندنا مكيفات O General.
نوفر ليك مكيفات O General بمقاسات وأنواع مختلفة. نتولى توريدها وتركيبها وصيانتها.
الموديل المناسب بنحدده بعد المعاينة لمساحة مكانك، عشان البرودة تكون كويسة وما تستهلك كهرباء زيادة.
اطلب معاينة لمكانك: 0120066904 أو 0120066903</t>
  </si>
  <si>
    <t xml:space="preserve">P04</t>
  </si>
  <si>
    <t xml:space="preserve">P04 — 2026-11-04 — منشور إنفوجرافيك</t>
  </si>
  <si>
    <t xml:space="preserve">قبل ما تشتري المكيف، اسأل: المساحة كم؟ والعزل كويس ولا لأ؟
حجم المكيف المناسب ما بيتحدد بالعين. بيعتمد على مساحة الغرفة، عدد النوافذ، اتجاه الشمس، والأجهزة الكهربائية الموجودة فيها. الاختيار الغلط يخلي الجهاز يشتغل أكتر من اللازم ويستهلك كهرباء زيادة، والاختيار الصح يريح المكان. نقدم معاينة لتحديد الحجم المناسب.
اسأل قبل ما تشتري: 0120066904</t>
  </si>
  <si>
    <t xml:space="preserve">قبل ما تشتري المكيف، اسأل: المساحة كم، والحيطان عازلة ولا لأ؟
حجم المكيف ما بنحدده بالعين. بيعتمد على مساحة الأوضة، عدد الشبابيك، اتجاه الشمس، والأجهزة الكهربائية الموجودة فيها.
لو اخترت حجم غلط، المكيف بشتغل زيادة عن اللازم. وبيستهلك كهرباء كتير بلا فايدة.
نحن بنعمل معاينة عشان نحدد ليك الحجم المناسب.
اسأل قبل ما تشتري: 0120066904</t>
  </si>
  <si>
    <t xml:space="preserve">P05</t>
  </si>
  <si>
    <t xml:space="preserve">P05 — 2026-11-05 — صورة فريق</t>
  </si>
  <si>
    <t xml:space="preserve">فنيينا ما بيشتغلوا بالتخمين... بيشتغلوا بالخبرة.
كوادرنا الفنية عندها خبرات طويلة في تركيب وصيانة أجهزة التكييف والتبريد بمختلف أنواعها، ويدعمها إشراف مهندسين متخصصين. نبدأ بمعاينة الموقع، ثم ننفذ بترتيب ودقة. الحقيقة تفوق التوقعات.
تابعونا وكلمونا: 0120066904</t>
  </si>
  <si>
    <t xml:space="preserve">فنيينا ما بيشتغلوا بالتخمين... بيشتغلوا بالخبرة.
الإخوان الفنيين عندنا عندهم خبرة طويلة. بيركبوا ويصونوا المكيفات وأجهزة التبريد بكل أنواعها، ومعاهم مهندسين متخصصين بيشرفوا على الشغل.
قبل أي تنفيذ بنعاين المكان. بعدين نشتغل بترتيب ودقة. الحقيقة تفوق التوقعات.
تابعونا وكلمونا: 0120066904</t>
  </si>
  <si>
    <t xml:space="preserve">P06</t>
  </si>
  <si>
    <t xml:space="preserve">P06 — 2026-11-06 — منشور صورة منتج</t>
  </si>
  <si>
    <t xml:space="preserve">الحر ما بيستنى... ومكيفات Midea عندنا بالتركيب والصيانة.
نوفر مكيفات براند Midea بأنواعها المختلفة، ونتولى تركيبها وصيانتها بفنيين مؤهلين. اختيار الموديل الأنسب يبدأ بمعرفة مساحة مكانك وطبيعة استخدامه، وهذا ما نساعدك فيه خلال المعاينة.
كلمونا لمعاينة مكانك: 0120066903</t>
  </si>
  <si>
    <t xml:space="preserve">الحر ما بيستنى... ومكيفات Midea عندنا، والتركيب والصيانة معانا.
نوفر مكيفات Midea بأنواع مختلفة، ونركبها ونصونها بفنيين مؤهلين. الموديل المناسب ليك بيعتمد على مساحة مكانك واستخدامه، ودا الشي البنساعدك فيه في المعاينة.
كلمونا لمعاينة مكانك: 0120066903</t>
  </si>
  <si>
    <t xml:space="preserve">P07</t>
  </si>
  <si>
    <t xml:space="preserve">P07 — 2026-11-07 — منشور نصي مع صورة</t>
  </si>
  <si>
    <t xml:space="preserve">الكويلات المتسخة بتسرق برودة مكيفك وانت ما شايف!
تراكم الأتربة على الفلاتر والكويلات يقلل كفاءة التبريد، ويرفع استهلاك الكهرباء، ويضغط على مكونات الجهاز. التنظيف الدوري بالمواد المناسبة، مع التطهير والمراجعة، يحافظ على الأداء ويطيل عمر المكيف. نقدم خدمة تنظيف ومراجعة وتطهير وتعطير للمكيفات.
احجز صيانتك: 0120066904</t>
  </si>
  <si>
    <t xml:space="preserve">الكويلات المتسخة بتسرق برودة مكيفك وانت ما شايف!
التراب المتراكم على الفلاتر والكويلات بقلل البرودة. وبزود استهلاك الكهرباء، وبضغط على أجزاء الجهاز.
التنظيف الدوري بالمواد المناسبة مع التطهير والمراجعة بحافظ على الأداء وبطول عمر المكيف. نحن بنقدم خدمة التنظيف والمراجعة والتطهير والتعطير للمكيفات.
احجز صيانتك: 0120066904</t>
  </si>
  <si>
    <t xml:space="preserve">P08</t>
  </si>
  <si>
    <t xml:space="preserve">P08 — 2026-11-08 — سؤال تفاعلي</t>
  </si>
  <si>
    <t xml:space="preserve">وين بتحب تركب المكيف في بيتك؟ 🏠
صالة؟ غرفة نوم؟ ولا محل تجاري؟ قول لنا المكان والمساحة تقريباً، وشاركنا أكبر تحدي عندك في التبريد. اختيار مكان التركيب يفرق كتير في البرودة وفي سهولة الصيانة بعدين.
اكتب ردك في التعليقات أو اتصل: 0120066904</t>
  </si>
  <si>
    <t xml:space="preserve">وين بتحب تركب المكيف في بيتك؟ 🏠
في الصالة ولا في أوضة النوم ولا في المحل؟ قول لينا المكان والمساحة بالتقريب، وقول لينا أكبر مشكلة عندك في البرودة. مكان التركيب بفرق كتير في البرودة وفي سهولة الصيانة بعدين.
اكتب ردك في الكومنتات ولا اتصل: 0120066904</t>
  </si>
  <si>
    <t xml:space="preserve">P09</t>
  </si>
  <si>
    <t xml:space="preserve">P09 — 2026-11-09 — منشور صورة منتج</t>
  </si>
  <si>
    <t xml:space="preserve">Samsung بتقنية حديثة... والتركيب الصح يكمل الصورة.
نوفر مكيفات Samsung بخيارات متعددة تناسب البيوت والمحلات والمكاتب، ونتولى معها التركيب والصيانة من فريق فني متخصص. اختيار الموديل يحتاج معاينة لمكانك، ونحن نساعدك تختار الأنسب.
احجز معاينة: 0120066904 أو 0120066903</t>
  </si>
  <si>
    <t xml:space="preserve">Samsung بتقنية حديثة... والتركيب الصح بكمل الصورة.
عندنا مكيفات Samsung بخيارات كتيرة تناسب البيوت والمحلات والمكاتب، ومعاها التركيب والصيانة من فريق متخصص. اختيار الموديل محتاج معاينة لمكانك، ونحن بنساعدك تختار الأنسب.
احجز معاينة: 0120066904 أو 0120066903</t>
  </si>
  <si>
    <t xml:space="preserve">P10</t>
  </si>
  <si>
    <t xml:space="preserve">P10 — 2026-11-10 — قائمة علامات</t>
  </si>
  <si>
    <t xml:space="preserve">المكيف بيديك إشارات قبل ما يقف... انت فاهمها؟
صوت غير عادي، ريحة مزعجة، ماية بتقطر من الوحدة الداخلية، أو برودة أضعف من المعتاد. كل علامة من دي ممكن تكون بداية عطل. التدخل المبكر أأمن وأريح من انتظار توقف الجهاز.
لو لاحظت أي علامة كلمونا: 0120066904</t>
  </si>
  <si>
    <t xml:space="preserve">المكيف بديك إشارات قبل ما يقف... انت فاهمها؟
صوت غريب. ريحة مزعجة. مية بتقطر من الوحدة الداخلية، أو برودة أضعف من العادي.
كل علامة من دي ممكن تكون بداية عطل. التدخل بدري أأمن وأريح من الانتظار لحد ما الجهاز يقف.
لو لاحظت أي علامة كلمونا: 0120066904</t>
  </si>
  <si>
    <t xml:space="preserve">P11</t>
  </si>
  <si>
    <t xml:space="preserve">P11 — 2026-11-11 — كاروسيل خدمات</t>
  </si>
  <si>
    <t xml:space="preserve">من التكييف للكهرباء والمولدات... كل خدماتنا في مكان واحد.
في إدراك الهندسية نقدم: توريد وتركيب وصيانة أجهزة التكييف والتبريد، وتنفيذ التمديدات الكهربائية للمنشآت والمنازل، وتوريد وتركيب وصيانة المولدات الكهربائية، وتنفيذ مشاريع الطاقة الشمسية، وتوريد قطع الغيار الأصلية، وخدمات استشارية لتفادي الأخطاء المحتملة. ونركز على التركيب السليم والصيانة الدورية.
اسأل عن أي خدمة: 0120066904 أو 0120066903</t>
  </si>
  <si>
    <t xml:space="preserve">من التكييف للكهرباء والمولدات... كل خدماتنا في مكان واحد.
في إدراك الهندسية بنقدم: توريد وتركيب وصيانة أجهزة التكييف والتبريد، وتنفيذ التمديدات الكهربائية للمنشآت والبيوت، وتوريد وتركيب وصيانة المولدات، وتنفيذ مشاريع الطاقة الشمسية، وتوريد قطع الغيار الأصلية، وخدمات استشارية عشان نتفادى الأخطاء قبل ما تحصل. وبنركز على التركيب السليم والصيانة الدورية.
اسأل عن أي خدمة: 0120066904 أو 0120066903</t>
  </si>
  <si>
    <t xml:space="preserve">P12</t>
  </si>
  <si>
    <t xml:space="preserve">P12 — 2026-11-12 — منشور صورة منتج</t>
  </si>
  <si>
    <t xml:space="preserve">LG بتفكر في راحتك... ونحن نهتم بالتركيب والصيانة.
نوفر مكيفات LG بأنواع مختلفة، ونتولى تركيبها بشكل مرتب وآمن، ونقدم صيانتها الدورية للحفاظ على كفاءتها. كلمنا نشوف معاك المكان والاحتياج، ونرشح لك الخيار المناسب.
اطلب معاينة: 0120066904</t>
  </si>
  <si>
    <t xml:space="preserve">LG بتفكر في راحتك... ونحن بنهتم بالتركيب والصيانة.
نوفر مكيفات LG بأنواع مختلفة، ونركبها بترتيب وأمان، ونعمل ليها صيانة دورية عشان تحافظ على كفاءتها. كلمنا نشوف معاك المكان والاحتياج، ونرشح ليك الخيار المناسب.
اطلب معاينة: 0120066904</t>
  </si>
  <si>
    <t xml:space="preserve">P13</t>
  </si>
  <si>
    <t xml:space="preserve">P13 — 2026-11-13 — سؤال مفتوح</t>
  </si>
  <si>
    <t xml:space="preserve">شاركنا تجربتك مع التركيب أو الصيانة!
هل عانيت من مكيف ما بيبرد؟ ولا عندك تجربة حلوة مع فني كويس؟ اكتب تجربتك في التعليقات، وبنرد على أي سؤال عن التركيب أو الصيانة. الهدف نتعلم من بعض ونساعد الجيران والأصحاب.
اكتب تجربتك في التعليقات</t>
  </si>
  <si>
    <t xml:space="preserve">شاركنا تجربتك مع التركيب ولا الصيانة!
عانيت من مكيف ما بيبرد؟ ولا عندك تجربة حلوة مع فني كويس؟
اكتب تجربتك في الكومنتات. نرد على أي سؤال عن التركيب أو الصيانة.
الغرض نتعلم من بعض ونساعد الجيران والأصحاب.
اكتب تجربتك في الكومنتات</t>
  </si>
  <si>
    <t xml:space="preserve">P14</t>
  </si>
  <si>
    <t xml:space="preserve">P14 — 2026-11-14 — منشور نصي مع صورة</t>
  </si>
  <si>
    <t xml:space="preserve">الصيانة الدورية أحسن من الطوارئ... خليها عادة في بيتك.
الصيانة الدورية المتعاقد عليها تساعد في اكتشاف الأعطال بدري، وتحافظ على سلامة التركيب، وتطيل العمر الافتراضي للمعدات. نقدم الصيانة الدورية والطارئة لأنواع المكيفات المختلفة، بفنيين خبراء وإشراف هندسي.
اتفق معانا على صيانة دورية: 0120066904</t>
  </si>
  <si>
    <t xml:space="preserve">الصيانة الدورية أحسن من الطوارئ... خليها عادة في بيتك.
الصيانة الدورية المتعاقد عليها بتساعد تكتشف الأعطال بدري، وبتحافظ على سلامة التركيب، وبتطول عمر المعدات. بنقدم الصيانة الدورية والطارئة لكل أنواع المكيفات، بفنيين خبراء وإشراف هندسي.
اتفق معانا على صيانة دورية: 0120066904</t>
  </si>
  <si>
    <t xml:space="preserve">P15</t>
  </si>
  <si>
    <t xml:space="preserve">P15 — 2026-11-15 — منشور صورة منتج</t>
  </si>
  <si>
    <t xml:space="preserve">Gree لبيت بارد في الحر... وإدراك جاهزة تركبه وتصونه.
نوفر مكيفات Gree بموديلات مختلفة، ونتولى توريدها وتركيبها وصيانتها. اختيار الجهاز الصحيح يبدأ بمعاينة المكان. تواصل معنا اليوم ونحدد لك الأنسب. الحقيقة تفوق التوقعات.
كلمونا الآن: 0120066904 أو 0120066903</t>
  </si>
  <si>
    <t xml:space="preserve">Gree لبيت بارد في الحر... وإدراك جاهزة تركبه وتصونه.
نوفر مكيفات Gree بموديلات مختلفة، ونتولى توريدها وتركيبها وصيانتها. اختيار الجهاز الصح بيبدأ بمعاينة المكان. كلمنا النهاردة ونحدد ليك الأنسب. الحقيقة تفوق التوقعات.
كلمونا هسه: 0120066904 أو 0120066903</t>
  </si>
  <si>
    <t xml:space="preserve">F01</t>
  </si>
  <si>
    <t xml:space="preserve">سؤال شائع</t>
  </si>
  <si>
    <t xml:space="preserve">هل المعاينة مجانية؟
[يتطلب تأكيداً من الإدارة قبل النشر]</t>
  </si>
  <si>
    <t xml:space="preserve">F02</t>
  </si>
  <si>
    <t xml:space="preserve">هل تركبون المكيفات التي اشتريتها من مكان آخر؟
[يتطلب تأكيداً من الإدارة قبل النشر]</t>
  </si>
  <si>
    <t xml:space="preserve">ممكن تركبوا مكيف اشتريته من محل تاني، ولا لازم يكون من عندكم؟
[يتطلب تأكيداً من الإدارة قبل النشر]</t>
  </si>
  <si>
    <t xml:space="preserve">F03</t>
  </si>
  <si>
    <t xml:space="preserve">ما هي أسعار المكيفات؟
الأسعار تحدد بعد المعاينة حسب الموديل والمكان والخدمة المطلوبة. تواصلوا معنا على 0120066904 أو 0120066903.</t>
  </si>
  <si>
    <t xml:space="preserve">الأسعار كم؟
السعر بيتحدد بعد المعاينة حسب الموديل والمكان والخدمة المطلوبة. كلمونا: 0120066904 أو 0120066903.</t>
  </si>
  <si>
    <t xml:space="preserve">تفاصيل المقاييس</t>
  </si>
  <si>
    <t xml:space="preserve">جمل قبل</t>
  </si>
  <si>
    <t xml:space="preserve">جمل بعد</t>
  </si>
  <si>
    <t xml:space="preserve">انحراف الجمل قبل</t>
  </si>
  <si>
    <t xml:space="preserve">انحراف الجمل بعد</t>
  </si>
  <si>
    <t xml:space="preserve">معامل التنوع قبل</t>
  </si>
  <si>
    <t xml:space="preserve">معامل التنوع بعد</t>
  </si>
  <si>
    <t xml:space="preserve">نسبة الفقرات القصيرة قبل</t>
  </si>
  <si>
    <t xml:space="preserve">نسبة الفقرات القصيرة بعد</t>
  </si>
  <si>
    <t xml:space="preserve">جمل طويلة قبل</t>
  </si>
  <si>
    <t xml:space="preserve">جمل طويلة بعد</t>
  </si>
  <si>
    <t xml:space="preserve">تعجب قبل</t>
  </si>
  <si>
    <t xml:space="preserve">تعجب بعد</t>
  </si>
  <si>
    <t xml:space="preserve">معامل التنوع = الانحراف ÷ المتوسط. الدرجة من 100: 50 نقطة للتنوع (قيمة 0.5 تعطي الدرجة كاملة)، 15 للفقرات القصيرة، 25 لغياب الكليشيهات، 10 للتعجب.</t>
  </si>
  <si>
    <t xml:space="preserve">العبارات النمطية المكتشفة</t>
  </si>
  <si>
    <t xml:space="preserve">الحالة</t>
  </si>
  <si>
    <t xml:space="preserve">الفئة</t>
  </si>
  <si>
    <t xml:space="preserve">العبارة</t>
  </si>
  <si>
    <t xml:space="preserve">البديل المقترح</t>
  </si>
  <si>
    <t xml:space="preserve">ملاحظة المراجع</t>
  </si>
  <si>
    <t xml:space="preserve">قاموس العبارات النمطية: عام ولهجات (خليجية، مصرية، سودانية)</t>
  </si>
  <si>
    <t xml:space="preserve">الرقم</t>
  </si>
  <si>
    <t xml:space="preserve">English / المعنى</t>
  </si>
  <si>
    <t xml:space="preserve">البديل بالعربية</t>
  </si>
  <si>
    <t xml:space="preserve">Replacement (EN)</t>
  </si>
  <si>
    <t xml:space="preserve">C01</t>
  </si>
  <si>
    <t xml:space="preserve">عامة</t>
  </si>
  <si>
    <t xml:space="preserve">افتتاحيات</t>
  </si>
  <si>
    <t xml:space="preserve">في عالم يتسارع فيه كل شيء</t>
  </si>
  <si>
    <t xml:space="preserve">in today's fast-paced world</t>
  </si>
  <si>
    <t xml:space="preserve">ابدأ بالمشكلة أو الفكرة مباشرة</t>
  </si>
  <si>
    <t xml:space="preserve">open with the specific problem</t>
  </si>
  <si>
    <t xml:space="preserve">C02</t>
  </si>
  <si>
    <t xml:space="preserve">في ظل التطور المتسارع</t>
  </si>
  <si>
    <t xml:space="preserve">in the ever-evolving landscape</t>
  </si>
  <si>
    <t xml:space="preserve">اذكر التغيير المحدد الذي يهم القارئ</t>
  </si>
  <si>
    <t xml:space="preserve">name the specific change that matters</t>
  </si>
  <si>
    <t xml:space="preserve">C03</t>
  </si>
  <si>
    <t xml:space="preserve">لا يخفى على أحد</t>
  </si>
  <si>
    <t xml:space="preserve">it's no secret that</t>
  </si>
  <si>
    <t xml:space="preserve">احذف العبارة وقدّم الحقيقة</t>
  </si>
  <si>
    <t xml:space="preserve">drop it and state the fact</t>
  </si>
  <si>
    <t xml:space="preserve">C04</t>
  </si>
  <si>
    <t xml:space="preserve">نغوص في عالم</t>
  </si>
  <si>
    <t xml:space="preserve">let's dive into</t>
  </si>
  <si>
    <t xml:space="preserve">قدّم الموضوع بجملة واحدة</t>
  </si>
  <si>
    <t xml:space="preserve">state the topic in one sentence</t>
  </si>
  <si>
    <t xml:space="preserve">C05</t>
  </si>
  <si>
    <t xml:space="preserve">في الآونة الأخيرة</t>
  </si>
  <si>
    <t xml:space="preserve">in recent times</t>
  </si>
  <si>
    <t xml:space="preserve">اذكر تاريخاً أو حدثاً محدداً</t>
  </si>
  <si>
    <t xml:space="preserve">use a specific date or event</t>
  </si>
  <si>
    <t xml:space="preserve">C06</t>
  </si>
  <si>
    <t xml:space="preserve">روابط</t>
  </si>
  <si>
    <t xml:space="preserve">من الجدير بالذكر أن</t>
  </si>
  <si>
    <t xml:space="preserve">it's worth noting that</t>
  </si>
  <si>
    <t xml:space="preserve">ابدأ بالمعلومة نفسها</t>
  </si>
  <si>
    <t xml:space="preserve">start with the information itself</t>
  </si>
  <si>
    <t xml:space="preserve">C07</t>
  </si>
  <si>
    <t xml:space="preserve">علاوة على ذلك</t>
  </si>
  <si>
    <t xml:space="preserve">moreover</t>
  </si>
  <si>
    <t xml:space="preserve">ابدأ جملة جديدة</t>
  </si>
  <si>
    <t xml:space="preserve">start a new sentence</t>
  </si>
  <si>
    <t xml:space="preserve">C08</t>
  </si>
  <si>
    <t xml:space="preserve">وفي هذا السياق</t>
  </si>
  <si>
    <t xml:space="preserve">in this context</t>
  </si>
  <si>
    <t xml:space="preserve">احذفها، فالسياق واضح من الجملة السابقة</t>
  </si>
  <si>
    <t xml:space="preserve">delete it, the context is clear</t>
  </si>
  <si>
    <t xml:space="preserve">C09</t>
  </si>
  <si>
    <t xml:space="preserve">في نهاية المطاف</t>
  </si>
  <si>
    <t xml:space="preserve">at the end of the day</t>
  </si>
  <si>
    <t xml:space="preserve">اذكر النتيجة مباشرة</t>
  </si>
  <si>
    <t xml:space="preserve">state the outcome directly</t>
  </si>
  <si>
    <t xml:space="preserve">C10</t>
  </si>
  <si>
    <t xml:space="preserve">—</t>
  </si>
  <si>
    <t xml:space="preserve">furthermore</t>
  </si>
  <si>
    <t xml:space="preserve">use 'and' or start a new sentence</t>
  </si>
  <si>
    <t xml:space="preserve">C11</t>
  </si>
  <si>
    <t xml:space="preserve">ختام</t>
  </si>
  <si>
    <t xml:space="preserve">خلاصة القول</t>
  </si>
  <si>
    <t xml:space="preserve">in conclusion</t>
  </si>
  <si>
    <t xml:space="preserve">لخّص الفكرة في جملة واحدة</t>
  </si>
  <si>
    <t xml:space="preserve">state the takeaway in one sentence</t>
  </si>
  <si>
    <t xml:space="preserve">C12</t>
  </si>
  <si>
    <t xml:space="preserve">في الختام</t>
  </si>
  <si>
    <t xml:space="preserve">قدّم الدعوة أو الفكرة الأخيرة</t>
  </si>
  <si>
    <t xml:space="preserve">give the final action or idea</t>
  </si>
  <si>
    <t xml:space="preserve">C13</t>
  </si>
  <si>
    <t xml:space="preserve">مبالغات</t>
  </si>
  <si>
    <t xml:space="preserve">يسلّط الضوء على</t>
  </si>
  <si>
    <t xml:space="preserve">sheds light on</t>
  </si>
  <si>
    <t xml:space="preserve">اكتب 'يشرح' أو 'يوضح'</t>
  </si>
  <si>
    <t xml:space="preserve">use 'explains' or 'shows'</t>
  </si>
  <si>
    <t xml:space="preserve">C14</t>
  </si>
  <si>
    <t xml:space="preserve">يُعدّ حجر الأساس</t>
  </si>
  <si>
    <t xml:space="preserve">cornerstone</t>
  </si>
  <si>
    <t xml:space="preserve">اذكر دور الشيء تحديداً</t>
  </si>
  <si>
    <t xml:space="preserve">state its specific role</t>
  </si>
  <si>
    <t xml:space="preserve">C15</t>
  </si>
  <si>
    <t xml:space="preserve">ثورة حقيقية</t>
  </si>
  <si>
    <t xml:space="preserve">game changer</t>
  </si>
  <si>
    <t xml:space="preserve">اذكر ما تغيّر بالأرقام</t>
  </si>
  <si>
    <t xml:space="preserve">state what changed, with numbers</t>
  </si>
  <si>
    <t xml:space="preserve">C16</t>
  </si>
  <si>
    <t xml:space="preserve">منارة الأمل</t>
  </si>
  <si>
    <t xml:space="preserve">beacon of hope</t>
  </si>
  <si>
    <t xml:space="preserve">احذفها، أو صف الأمل بتفاصيله</t>
  </si>
  <si>
    <t xml:space="preserve">delete it or describe the hope concretely</t>
  </si>
  <si>
    <t xml:space="preserve">C17</t>
  </si>
  <si>
    <t xml:space="preserve">قفزة نوعية</t>
  </si>
  <si>
    <t xml:space="preserve">اذكر الفرق الفعلي</t>
  </si>
  <si>
    <t xml:space="preserve">state the actual difference</t>
  </si>
  <si>
    <t xml:space="preserve">C18</t>
  </si>
  <si>
    <t xml:space="preserve">تفتح آفاقاً جديدة</t>
  </si>
  <si>
    <t xml:space="preserve">opens new horizons</t>
  </si>
  <si>
    <t xml:space="preserve">اذكر الفرصة المحددة</t>
  </si>
  <si>
    <t xml:space="preserve">name the specific opportunity</t>
  </si>
  <si>
    <t xml:space="preserve">C19</t>
  </si>
  <si>
    <t xml:space="preserve">لا يمكن إنكار</t>
  </si>
  <si>
    <t xml:space="preserve">it cannot be denied</t>
  </si>
  <si>
    <t xml:space="preserve">قدّم الدليل بدلاً من التأكيد</t>
  </si>
  <si>
    <t xml:space="preserve">give evidence instead of the claim</t>
  </si>
  <si>
    <t xml:space="preserve">C20</t>
  </si>
  <si>
    <t xml:space="preserve">المستقبل الواعد</t>
  </si>
  <si>
    <t xml:space="preserve">promising future</t>
  </si>
  <si>
    <t xml:space="preserve">اذكر مؤشراً محدداً</t>
  </si>
  <si>
    <t xml:space="preserve">cite a specific indicator</t>
  </si>
  <si>
    <t xml:space="preserve">C21</t>
  </si>
  <si>
    <t xml:space="preserve">unleash</t>
  </si>
  <si>
    <t xml:space="preserve">اكتب 'يطلق' أو 'يتيح'</t>
  </si>
  <si>
    <t xml:space="preserve">use 'release' or 'enable'</t>
  </si>
  <si>
    <t xml:space="preserve">C22</t>
  </si>
  <si>
    <t xml:space="preserve">revolutionize</t>
  </si>
  <si>
    <t xml:space="preserve">صف التغيير بدقة</t>
  </si>
  <si>
    <t xml:space="preserve">describe the change precisely</t>
  </si>
  <si>
    <t xml:space="preserve">C23</t>
  </si>
  <si>
    <t xml:space="preserve">groundbreaking</t>
  </si>
  <si>
    <t xml:space="preserve">اذكر ما هو الجديد فعلاً</t>
  </si>
  <si>
    <t xml:space="preserve">state what is actually new</t>
  </si>
  <si>
    <t xml:space="preserve">C24</t>
  </si>
  <si>
    <t xml:space="preserve">transformative</t>
  </si>
  <si>
    <t xml:space="preserve">اذكر ما الذي تغيّر</t>
  </si>
  <si>
    <t xml:space="preserve">say what changed</t>
  </si>
  <si>
    <t xml:space="preserve">C25</t>
  </si>
  <si>
    <t xml:space="preserve">tapestry</t>
  </si>
  <si>
    <t xml:space="preserve">استخدم اسماً عادياً</t>
  </si>
  <si>
    <t xml:space="preserve">use a plain noun</t>
  </si>
  <si>
    <t xml:space="preserve">C26</t>
  </si>
  <si>
    <t xml:space="preserve">delve into</t>
  </si>
  <si>
    <t xml:space="preserve">اكتب 'ندرس' أو 'نشرح'</t>
  </si>
  <si>
    <t xml:space="preserve">use 'examine' or 'explain'</t>
  </si>
  <si>
    <t xml:space="preserve">C27</t>
  </si>
  <si>
    <t xml:space="preserve">cutting-edge</t>
  </si>
  <si>
    <t xml:space="preserve">اذكر الميزة التقنية المحددة</t>
  </si>
  <si>
    <t xml:space="preserve">name the specific feature</t>
  </si>
  <si>
    <t xml:space="preserve">C28</t>
  </si>
  <si>
    <t xml:space="preserve">seamless</t>
  </si>
  <si>
    <t xml:space="preserve">صف ما يحدث للمستخدم خطوة بخطوة</t>
  </si>
  <si>
    <t xml:space="preserve">describe what the user actually experiences</t>
  </si>
  <si>
    <t xml:space="preserve">C29</t>
  </si>
  <si>
    <t xml:space="preserve">leverage</t>
  </si>
  <si>
    <t xml:space="preserve">اكتب 'استخدم'</t>
  </si>
  <si>
    <t xml:space="preserve">write 'use'</t>
  </si>
  <si>
    <t xml:space="preserve">C30</t>
  </si>
  <si>
    <t xml:space="preserve">تسويقي فارغ</t>
  </si>
  <si>
    <t xml:space="preserve">يُعتبر الخيار الأمثل</t>
  </si>
  <si>
    <t xml:space="preserve">the ideal choice</t>
  </si>
  <si>
    <t xml:space="preserve">اذكر سبب الأفضلية</t>
  </si>
  <si>
    <t xml:space="preserve">state the reason it is better</t>
  </si>
  <si>
    <t xml:space="preserve">C31</t>
  </si>
  <si>
    <t xml:space="preserve">كل ما تحتاجه</t>
  </si>
  <si>
    <t xml:space="preserve">everything you need</t>
  </si>
  <si>
    <t xml:space="preserve">اذكر ما يشمله العرض بالتحديد</t>
  </si>
  <si>
    <t xml:space="preserve">list what the offer includes</t>
  </si>
  <si>
    <t xml:space="preserve">C32</t>
  </si>
  <si>
    <t xml:space="preserve">لا تبحث أكثر</t>
  </si>
  <si>
    <t xml:space="preserve">look no further</t>
  </si>
  <si>
    <t xml:space="preserve">اذكر ما يميزك عن البديل</t>
  </si>
  <si>
    <t xml:space="preserve">state what sets you apart</t>
  </si>
  <si>
    <t xml:space="preserve">C33</t>
  </si>
  <si>
    <t xml:space="preserve">take your business to the next level</t>
  </si>
  <si>
    <t xml:space="preserve">اذكر النتيجة المتوقعة بالأرقام</t>
  </si>
  <si>
    <t xml:space="preserve">state the expected result, with numbers</t>
  </si>
  <si>
    <t xml:space="preserve">C34</t>
  </si>
  <si>
    <t xml:space="preserve">unlock the power of</t>
  </si>
  <si>
    <t xml:space="preserve">اذكر ما الذي يفعله المنتج</t>
  </si>
  <si>
    <t xml:space="preserve">say what the product does</t>
  </si>
  <si>
    <t xml:space="preserve">C35</t>
  </si>
  <si>
    <t xml:space="preserve">embark on a journey</t>
  </si>
  <si>
    <t xml:space="preserve">اذكر الخطوة الأولى</t>
  </si>
  <si>
    <t xml:space="preserve">name the first step</t>
  </si>
  <si>
    <t xml:space="preserve">G01</t>
  </si>
  <si>
    <t xml:space="preserve">خليجية</t>
  </si>
  <si>
    <t xml:space="preserve">عبارات تفضيل مطلقة</t>
  </si>
  <si>
    <t xml:space="preserve">أفضل خدمة في الخليج</t>
  </si>
  <si>
    <t xml:space="preserve">the best service in the Gulf</t>
  </si>
  <si>
    <t xml:space="preserve">اذكر ما الذي يجعلها الأفضل: المدة، الضمان، أو السعر</t>
  </si>
  <si>
    <t xml:space="preserve">name what makes it the best: time, warranty, or price</t>
  </si>
  <si>
    <t xml:space="preserve">G02</t>
  </si>
  <si>
    <t xml:space="preserve">وعود مطلقة</t>
  </si>
  <si>
    <t xml:space="preserve">ما راح تندم</t>
  </si>
  <si>
    <t xml:space="preserve">you won't regret it</t>
  </si>
  <si>
    <t xml:space="preserve">اذكر ما الذي سيحصل عليه العميل بالتحديد</t>
  </si>
  <si>
    <t xml:space="preserve">state exactly what the customer gets</t>
  </si>
  <si>
    <t xml:space="preserve">G03</t>
  </si>
  <si>
    <t xml:space="preserve">ثقة مفرطة</t>
  </si>
  <si>
    <t xml:space="preserve">الجودة اللي تستاهلها</t>
  </si>
  <si>
    <t xml:space="preserve">the quality you deserve</t>
  </si>
  <si>
    <t xml:space="preserve">اذكر المواصفة الفعلية للمنتج</t>
  </si>
  <si>
    <t xml:space="preserve">state the actual product spec</t>
  </si>
  <si>
    <t xml:space="preserve">G04</t>
  </si>
  <si>
    <t xml:space="preserve">إلحاح ودعوة</t>
  </si>
  <si>
    <t xml:space="preserve">عروض لا تفوتها</t>
  </si>
  <si>
    <t xml:space="preserve">offers you can't miss</t>
  </si>
  <si>
    <t xml:space="preserve">اذكر العرض وتاريخ انتهائه</t>
  </si>
  <si>
    <t xml:space="preserve">state the offer and its end date</t>
  </si>
  <si>
    <t xml:space="preserve">G05</t>
  </si>
  <si>
    <t xml:space="preserve">خدمة ما لها مثيل</t>
  </si>
  <si>
    <t xml:space="preserve">a service like no other</t>
  </si>
  <si>
    <t xml:space="preserve">صف ما الذي يميزها عن البديل</t>
  </si>
  <si>
    <t xml:space="preserve">describe what sets it apart</t>
  </si>
  <si>
    <t xml:space="preserve">G06</t>
  </si>
  <si>
    <t xml:space="preserve">أسئلة بلاغية</t>
  </si>
  <si>
    <t xml:space="preserve">وش تنتظر؟</t>
  </si>
  <si>
    <t xml:space="preserve">what are you waiting for?</t>
  </si>
  <si>
    <t xml:space="preserve">احذف السؤال واذكر الخطوة التالية</t>
  </si>
  <si>
    <t xml:space="preserve">drop the question and state the next step</t>
  </si>
  <si>
    <t xml:space="preserve">G07</t>
  </si>
  <si>
    <t xml:space="preserve">ادعاءات مطلقة</t>
  </si>
  <si>
    <t xml:space="preserve">الأسعار ما تنافس</t>
  </si>
  <si>
    <t xml:space="preserve">prices nobody can beat</t>
  </si>
  <si>
    <t xml:space="preserve">قارن السعر بمرجع محدد، أو احذف الادعاء</t>
  </si>
  <si>
    <t xml:space="preserve">compare with a named reference price, or drop the claim</t>
  </si>
  <si>
    <t xml:space="preserve">G08</t>
  </si>
  <si>
    <t xml:space="preserve">خلك معنا</t>
  </si>
  <si>
    <t xml:space="preserve">stay with us</t>
  </si>
  <si>
    <t xml:space="preserve">اكتب ما الذي سيحصل عليه العميل إذا تعامل معك</t>
  </si>
  <si>
    <t xml:space="preserve">say what the customer gets by working with you</t>
  </si>
  <si>
    <t xml:space="preserve">E01</t>
  </si>
  <si>
    <t xml:space="preserve">مصرية</t>
  </si>
  <si>
    <t xml:space="preserve">مش هتلاقي أحسن من كده</t>
  </si>
  <si>
    <t xml:space="preserve">you won't find anything better than this</t>
  </si>
  <si>
    <t xml:space="preserve">اذكر ما الذي يجعل العرض مختلفاً</t>
  </si>
  <si>
    <t xml:space="preserve">state what makes the offer different</t>
  </si>
  <si>
    <t xml:space="preserve">E02</t>
  </si>
  <si>
    <t xml:space="preserve">الجودة والسعر اللي يفرحك</t>
  </si>
  <si>
    <t xml:space="preserve">quality and price that will delight you</t>
  </si>
  <si>
    <t xml:space="preserve">اذكر السعر والمواصفة بالأرقام</t>
  </si>
  <si>
    <t xml:space="preserve">state the price and spec in numbers</t>
  </si>
  <si>
    <t xml:space="preserve">E03</t>
  </si>
  <si>
    <t xml:space="preserve">عروض ما تتعوضش</t>
  </si>
  <si>
    <t xml:space="preserve">offers you can't get back</t>
  </si>
  <si>
    <t xml:space="preserve">اذكر العرض وآخر موعد له</t>
  </si>
  <si>
    <t xml:space="preserve">state the offer and its deadline</t>
  </si>
  <si>
    <t xml:space="preserve">E04</t>
  </si>
  <si>
    <t xml:space="preserve">متتأخرش</t>
  </si>
  <si>
    <t xml:space="preserve">don't be late</t>
  </si>
  <si>
    <t xml:space="preserve">قدّم سبباً محدداً للتصرف الآن</t>
  </si>
  <si>
    <t xml:space="preserve">give a specific reason to act now</t>
  </si>
  <si>
    <t xml:space="preserve">E05</t>
  </si>
  <si>
    <t xml:space="preserve">اطلب دلوقتي</t>
  </si>
  <si>
    <t xml:space="preserve">order now</t>
  </si>
  <si>
    <t xml:space="preserve">اكتب دعوة واحدة محددة مع الخطوة التالية</t>
  </si>
  <si>
    <t xml:space="preserve">write one specific call with the next step</t>
  </si>
  <si>
    <t xml:space="preserve">E06</t>
  </si>
  <si>
    <t xml:space="preserve">هتفرق معاك</t>
  </si>
  <si>
    <t xml:space="preserve">it will make a difference for you</t>
  </si>
  <si>
    <t xml:space="preserve">صف الفرق بالتحديد</t>
  </si>
  <si>
    <t xml:space="preserve">describe the exact difference</t>
  </si>
  <si>
    <t xml:space="preserve">E07</t>
  </si>
  <si>
    <t xml:space="preserve">الثقة اللي تستاهلها</t>
  </si>
  <si>
    <t xml:space="preserve">the trust you deserve</t>
  </si>
  <si>
    <t xml:space="preserve">اذكر الضمان أو عدد السنوات أو عدد العملاء</t>
  </si>
  <si>
    <t xml:space="preserve">cite the warranty, years, or client count</t>
  </si>
  <si>
    <t xml:space="preserve">E08</t>
  </si>
  <si>
    <t xml:space="preserve">أحسن حاجة في السوق</t>
  </si>
  <si>
    <t xml:space="preserve">the best thing on the market</t>
  </si>
  <si>
    <t xml:space="preserve">قارن بمواصفة محددة</t>
  </si>
  <si>
    <t xml:space="preserve">compare on a specific spec</t>
  </si>
  <si>
    <t xml:space="preserve">S01</t>
  </si>
  <si>
    <t xml:space="preserve">الخدمة الما بتقارن</t>
  </si>
  <si>
    <t xml:space="preserve">a service beyond comparison</t>
  </si>
  <si>
    <t xml:space="preserve">اذكر ما الذي يجعلها متميزة</t>
  </si>
  <si>
    <t xml:space="preserve">state what makes it distinct</t>
  </si>
  <si>
    <t xml:space="preserve">S02</t>
  </si>
  <si>
    <t xml:space="preserve">ما بتلقى زيها</t>
  </si>
  <si>
    <t xml:space="preserve">you won't find another like it</t>
  </si>
  <si>
    <t xml:space="preserve">صف الميزة الفريدة بالتحديد</t>
  </si>
  <si>
    <t xml:space="preserve">describe the unique feature</t>
  </si>
  <si>
    <t xml:space="preserve">S03</t>
  </si>
  <si>
    <t xml:space="preserve">الأحسن في السودان</t>
  </si>
  <si>
    <t xml:space="preserve">the best in Sudan</t>
  </si>
  <si>
    <t xml:space="preserve">اذكر المعيار الذي تتفوق فيه</t>
  </si>
  <si>
    <t xml:space="preserve">name the criterion you lead on</t>
  </si>
  <si>
    <t xml:space="preserve">S04</t>
  </si>
  <si>
    <t xml:space="preserve">اتصل الحين</t>
  </si>
  <si>
    <t xml:space="preserve">call now</t>
  </si>
  <si>
    <t xml:space="preserve">اكتب الرقم ووقت الرد في جملة واحدة</t>
  </si>
  <si>
    <t xml:space="preserve">give the number and response time in one sentence</t>
  </si>
  <si>
    <t xml:space="preserve">S05</t>
  </si>
  <si>
    <t xml:space="preserve">ما تفوّت الفرصة</t>
  </si>
  <si>
    <t xml:space="preserve">don't miss the chance</t>
  </si>
  <si>
    <t xml:space="preserve">اذكر الفرصة وموعدها</t>
  </si>
  <si>
    <t xml:space="preserve">state the opportunity and its date</t>
  </si>
  <si>
    <t xml:space="preserve">S06</t>
  </si>
  <si>
    <t xml:space="preserve">نحن معاك في كل خطوة</t>
  </si>
  <si>
    <t xml:space="preserve">we're with you every step</t>
  </si>
  <si>
    <t xml:space="preserve">اذكر الخطوات التي تنفذها الشركة فعلاً</t>
  </si>
  <si>
    <t xml:space="preserve">list the steps you actually take</t>
  </si>
  <si>
    <t xml:space="preserve">S07</t>
  </si>
  <si>
    <t xml:space="preserve">أفضل شريك ليك</t>
  </si>
  <si>
    <t xml:space="preserve">your best partner</t>
  </si>
  <si>
    <t xml:space="preserve">اذكر ما تقدمه للعميل بالتحديد</t>
  </si>
  <si>
    <t xml:space="preserve">state what you deliver</t>
  </si>
  <si>
    <t xml:space="preserve">S08</t>
  </si>
  <si>
    <t xml:space="preserve">الطلب فوراً</t>
  </si>
  <si>
    <t xml:space="preserve">order immediately</t>
  </si>
  <si>
    <t xml:space="preserve">اكتب خطوات الطلب واحدة بعد الأخرى</t>
  </si>
  <si>
    <t xml:space="preserve">describe the ordering steps one by one</t>
  </si>
  <si>
    <t xml:space="preserve">أنماط الكتابة: الأساسية والاختيارية</t>
  </si>
  <si>
    <t xml:space="preserve">Style</t>
  </si>
  <si>
    <t xml:space="preserve">النوع</t>
  </si>
  <si>
    <t xml:space="preserve">متى يُستخدم</t>
  </si>
  <si>
    <t xml:space="preserve">الحدود</t>
  </si>
  <si>
    <t xml:space="preserve">Formal and direct</t>
  </si>
  <si>
    <t xml:space="preserve">أساسي</t>
  </si>
  <si>
    <t xml:space="preserve">بيانات الشركات، التقارير، الإعلانات الرسمية، المراسلات مع الجهات والعملاء الكبار.</t>
  </si>
  <si>
    <t xml:space="preserve">جمل قصيرة، أفعال نشطة، أرقام وحقائق. لا مصطلحات فخمة ولا تكرار للمعنى نفسه. الرسمية لا تعني تعقيد الجمل.</t>
  </si>
  <si>
    <t xml:space="preserve">Friendly and warm</t>
  </si>
  <si>
    <t xml:space="preserve">منشورات المجتمع، رسائل الترحيب، النشرات البريدية، صفحات 'من نحن'، الرد على العملاء.</t>
  </si>
  <si>
    <t xml:space="preserve">ضمير المخاطب المباشر، جمل متوسطة، لا تحبب مفرط ولا علامات تعجب متتالية. اكتب كزميل موثوق لا كبائع.</t>
  </si>
  <si>
    <t xml:space="preserve">Persuasive and conversion-focused</t>
  </si>
  <si>
    <t xml:space="preserve">الإعلانات، صفحات الهبوط، إعلانات السوشيال ميديا، الحملات ذات الدعوة للإجراء.</t>
  </si>
  <si>
    <t xml:space="preserve">الفائدة قبل الميزة، وعد قابل للتحقق لا مبالغة، دعوة واحدة واضحة للإجراء. لا عبارات فارغة مثل 'الخيار الأمثل'.</t>
  </si>
  <si>
    <t xml:space="preserve">Playful and engaging</t>
  </si>
  <si>
    <t xml:space="preserve">اختياري</t>
  </si>
  <si>
    <t xml:space="preserve">طلب صريح من المستخدم، أو حملات لجمهور شاب على تيك توك وإنستجرام.</t>
  </si>
  <si>
    <t xml:space="preserve">دعابة خفيفة مرتبطة بالسياق، لا دعابة مفروضة. علامات التعجب بحد أقصى واحدة لكل فقرة.</t>
  </si>
  <si>
    <t xml:space="preserve">Educational and story-driven</t>
  </si>
  <si>
    <t xml:space="preserve">طلب صريح من المستخدم، أو مقالات ومدونات تشرح فكرة بأمثلة واقعية.</t>
  </si>
  <si>
    <t xml:space="preserve">افتتاحية بمشهد أو تجربة حقيقية، ثم الفكرة، ثم خلاصة واضحة. الأمثلة من بيئة القارئ، والأرقام موثقة.</t>
  </si>
  <si>
    <t xml:space="preserve">قائمة الفحص قبل التسليم (ضع علامة في العمود الأصفر)</t>
  </si>
  <si>
    <t xml:space="preserve">المجموعة</t>
  </si>
  <si>
    <t xml:space="preserve">البند</t>
  </si>
  <si>
    <t xml:space="preserve">تم</t>
  </si>
  <si>
    <t xml:space="preserve">الإيقاع</t>
  </si>
  <si>
    <t xml:space="preserve">تنوع طول الجمل واضح: جمل قصيرة وأخرى متوسطة، وليست كلها بنفس الطول</t>
  </si>
  <si>
    <t xml:space="preserve">لا تبدأ أكثر من ثلاث جمل متتالية بالفاعل نفسه</t>
  </si>
  <si>
    <t xml:space="preserve">توجد فقرة قصيرة واحدة على الأقل لكل 150 كلمة تقريباً</t>
  </si>
  <si>
    <t xml:space="preserve">الكليشيهات</t>
  </si>
  <si>
    <t xml:space="preserve">لا توجد عبارات من القاموس المرجعي إلا إذا كانت مقصودة</t>
  </si>
  <si>
    <t xml:space="preserve">لا توجد افتتاحية عامة مثل 'في عالم يتسارع' أو 'in today's fast-paced world'</t>
  </si>
  <si>
    <t xml:space="preserve">لا توجد مبالغات مثل 'ثورة حقيقية' أو 'game changer' دون دليل</t>
  </si>
  <si>
    <t xml:space="preserve">الحدة والعاطفة</t>
  </si>
  <si>
    <t xml:space="preserve">علامات التعجب لا تتجاوز واحدة في النص القصير، ولا تُستخدم لافتعال الحماس</t>
  </si>
  <si>
    <t xml:space="preserve">الدعابة (إن وُجدت) مرتبطة بالسياق وليست مفروضة</t>
  </si>
  <si>
    <t xml:space="preserve">لا توجد وعود مالية أو نتائج لا يمكن التحقق منها</t>
  </si>
  <si>
    <t xml:space="preserve">النمط واللهجة</t>
  </si>
  <si>
    <t xml:space="preserve">النمط المختار (رسمي / ودي / تسويقي) واضح من أول فقرة</t>
  </si>
  <si>
    <t xml:space="preserve">اللهجة متسقة داخل النص، ولا تُخلط الفصحى والعامية في الجملة نفسها</t>
  </si>
  <si>
    <t xml:space="preserve">المصطلحات التقنية والأرقام بالفصحى حتى في النصوص العامية</t>
  </si>
  <si>
    <t xml:space="preserve">الإغلاق</t>
  </si>
  <si>
    <t xml:space="preserve">الخاتمة تقدم فكرة أو دعوة محددة، لا عبارة ختامية عامة</t>
  </si>
  <si>
    <t xml:space="preserve">الدعوة للإجراء (إن وُجدت) واحدة وواضحة</t>
  </si>
  <si>
    <t xml:space="preserve">نتائج الفحص</t>
  </si>
  <si>
    <t xml:space="preserve">المستوى</t>
  </si>
  <si>
    <t xml:space="preserve">الرسالة</t>
  </si>
  <si>
    <t xml:space="preserve">تحذير</t>
  </si>
  <si>
    <t xml:space="preserve">درجة البشرية انخفضت بعد التعديل، راجع النص</t>
  </si>
  <si>
    <t xml:space="preserve">طول الجمل متقارب جداً، أضف تنوعاً في الإيقاع</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</si>
</sst>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A4D"/>
      <name val="Arial"/>
      <family val="0"/>
      <charset val="1"/>
    </font>
    <font>
      <b val="true"/>
      <sz val="10"/>
      <name val="Arial"/>
      <family val="0"/>
      <charset val="1"/>
    </font>
    <font>
      <sz val="10"/>
      <name val="Arial"/>
      <family val="0"/>
      <charset val="1"/>
    </font>
    <font>
      <b val="true"/>
      <sz val="12"/>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4D"/>
        <bgColor rgb="FF003366"/>
      </patternFill>
    </fill>
    <fill>
      <patternFill patternType="solid">
        <fgColor rgb="FFFFF4CC"/>
        <bgColor rgb="FFFFFFFF"/>
      </patternFill>
    </fill>
  </fills>
  <borders count="2">
    <border diagonalUp="false" diagonalDown="false">
      <left/>
      <right/>
      <top/>
      <bottom/>
      <diagonal/>
    </border>
    <border diagonalUp="false" diagonalDown="false">
      <left style="thin">
        <color rgb="FFB7C4CE"/>
      </left>
      <right style="thin">
        <color rgb="FFB7C4CE"/>
      </right>
      <top style="thin">
        <color rgb="FFB7C4CE"/>
      </top>
      <bottom style="thin">
        <color rgb="FFB7C4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righ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4D"/>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4CE"/>
      <rgbColor rgb="FF808080"/>
      <rgbColor rgb="FF9999FF"/>
      <rgbColor rgb="FF993366"/>
      <rgbColor rgb="FFFFF4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24"/>
    <col collapsed="false" customWidth="true" hidden="false" outlineLevel="0" max="4" min="4" style="0" width="12"/>
  </cols>
  <sheetData>
    <row r="1" customFormat="false" ht="27.75" hidden="false" customHeight="true" outlineLevel="0" collapsed="false">
      <c r="A1" s="1" t="s">
        <v>0</v>
      </c>
      <c r="B1" s="1"/>
      <c r="C1" s="1"/>
      <c r="D1" s="1"/>
    </row>
    <row r="3" customFormat="false" ht="15" hidden="false" customHeight="false" outlineLevel="0" collapsed="false">
      <c r="A3" s="2" t="s">
        <v>1</v>
      </c>
      <c r="B3" s="3" t="n">
        <f aca="false">COUNTA(النصوص!$A$3:$A$20)</f>
        <v>18</v>
      </c>
    </row>
    <row r="4" customFormat="false" ht="15" hidden="false" customHeight="false" outlineLevel="0" collapsed="false">
      <c r="A4" s="2" t="s">
        <v>2</v>
      </c>
      <c r="B4" s="4" t="n">
        <f aca="false">AVERAGE(النصوص!$M$3:$M$20)</f>
        <v>85.7222222222222</v>
      </c>
    </row>
    <row r="5" customFormat="false" ht="15" hidden="false" customHeight="false" outlineLevel="0" collapsed="false">
      <c r="A5" s="2" t="s">
        <v>3</v>
      </c>
      <c r="B5" s="4" t="n">
        <f aca="false">AVERAGE(النصوص!$N$3:$N$20)</f>
        <v>85.9444444444444</v>
      </c>
    </row>
    <row r="6" customFormat="false" ht="15" hidden="false" customHeight="false" outlineLevel="0" collapsed="false">
      <c r="A6" s="2" t="s">
        <v>4</v>
      </c>
      <c r="B6" s="4" t="n">
        <f aca="false">AVERAGE(النصوص!$O$3:$O$20)</f>
        <v>0.222222222222222</v>
      </c>
    </row>
    <row r="7" customFormat="false" ht="15" hidden="false" customHeight="false" outlineLevel="0" collapsed="false">
      <c r="A7" s="2" t="s">
        <v>5</v>
      </c>
      <c r="B7" s="3" t="n">
        <f aca="false">SUM(النصوص!$K$3:$K$20)</f>
        <v>0</v>
      </c>
    </row>
    <row r="8" customFormat="false" ht="15" hidden="false" customHeight="false" outlineLevel="0" collapsed="false">
      <c r="A8" s="2" t="s">
        <v>6</v>
      </c>
      <c r="B8" s="3" t="n">
        <f aca="false">SUM(النصوص!$L$3:$L$20)</f>
        <v>0</v>
      </c>
    </row>
    <row r="9" customFormat="false" ht="15" hidden="false" customHeight="false" outlineLevel="0" collapsed="false">
      <c r="A9" s="2" t="s">
        <v>7</v>
      </c>
      <c r="B9" s="4" t="n">
        <f aca="false">AVERAGE(النصوص!$I$3:$I$20)</f>
        <v>7.22222222222222</v>
      </c>
    </row>
    <row r="10" customFormat="false" ht="15" hidden="false" customHeight="false" outlineLevel="0" collapsed="false">
      <c r="A10" s="2" t="s">
        <v>8</v>
      </c>
      <c r="B10" s="4" t="n">
        <f aca="false">AVERAGE(النصوص!$J$3:$J$20)</f>
        <v>7</v>
      </c>
    </row>
    <row r="11" customFormat="false" ht="15" hidden="false" customHeight="false" outlineLevel="0" collapsed="false">
      <c r="A11" s="2" t="s">
        <v>9</v>
      </c>
      <c r="B11" s="3" t="n">
        <f aca="false">COUNTIF(النصوص!$C$3:$C$20,"العربية")</f>
        <v>18</v>
      </c>
    </row>
    <row r="12" customFormat="false" ht="15" hidden="false" customHeight="false" outlineLevel="0" collapsed="false">
      <c r="A12" s="2" t="s">
        <v>10</v>
      </c>
      <c r="B12" s="3" t="n">
        <f aca="false">COUNTIF(النصوص!$C$3:$C$20,"English")</f>
        <v>0</v>
      </c>
    </row>
    <row r="14" customFormat="false" ht="15" hidden="false" customHeight="false" outlineLevel="0" collapsed="false">
      <c r="A14" s="5" t="s">
        <v>11</v>
      </c>
    </row>
    <row r="15" customFormat="false" ht="15" hidden="false" customHeight="false" outlineLevel="0" collapsed="false">
      <c r="A15" s="6" t="s">
        <v>12</v>
      </c>
      <c r="B15" s="6" t="s">
        <v>1</v>
      </c>
      <c r="C15" s="6" t="s">
        <v>3</v>
      </c>
    </row>
    <row r="16" customFormat="false" ht="15" hidden="false" customHeight="false" outlineLevel="0" collapsed="false">
      <c r="A16" s="7" t="s">
        <v>13</v>
      </c>
      <c r="B16" s="7" t="n">
        <f aca="false">COUNTIF(النصوص!$F$3:$F$20,A16)</f>
        <v>1</v>
      </c>
      <c r="C16" s="8" t="n">
        <f aca="false">IFERROR(AVERAGEIF(النصوص!$F$3:$F$20,A16,النصوص!$N$3:$N$20),"")</f>
        <v>85</v>
      </c>
    </row>
    <row r="17" customFormat="false" ht="15" hidden="false" customHeight="false" outlineLevel="0" collapsed="false">
      <c r="A17" s="7" t="s">
        <v>14</v>
      </c>
      <c r="B17" s="7" t="n">
        <f aca="false">COUNTIF(النصوص!$F$3:$F$20,A17)</f>
        <v>12</v>
      </c>
      <c r="C17" s="8" t="n">
        <f aca="false">IFERROR(AVERAGEIF(النصوص!$F$3:$F$20,A17,النصوص!$N$3:$N$20),"")</f>
        <v>82.8333333333333</v>
      </c>
    </row>
    <row r="18" customFormat="false" ht="15" hidden="false" customHeight="false" outlineLevel="0" collapsed="false">
      <c r="A18" s="7" t="s">
        <v>15</v>
      </c>
      <c r="B18" s="7" t="n">
        <f aca="false">COUNTIF(النصوص!$F$3:$F$20,A18)</f>
        <v>5</v>
      </c>
      <c r="C18" s="8" t="n">
        <f aca="false">IFERROR(AVERAGEIF(النصوص!$F$3:$F$20,A18,النصوص!$N$3:$N$20),"")</f>
        <v>93.6</v>
      </c>
    </row>
    <row r="19" customFormat="false" ht="15" hidden="false" customHeight="false" outlineLevel="0" collapsed="false">
      <c r="A19" s="7" t="s">
        <v>16</v>
      </c>
      <c r="B19" s="7" t="n">
        <f aca="false">COUNTIF(النصوص!$F$3:$F$20,A19)</f>
        <v>0</v>
      </c>
      <c r="C19" s="8" t="str">
        <f aca="false">IFERROR(AVERAGEIF(النصوص!$F$3:$F$20,A19,النصوص!$N$3:$N$20),"")</f>
        <v/>
      </c>
    </row>
    <row r="20" customFormat="false" ht="15" hidden="false" customHeight="false" outlineLevel="0" collapsed="false">
      <c r="A20" s="7" t="s">
        <v>17</v>
      </c>
      <c r="B20" s="7" t="n">
        <f aca="false">COUNTIF(النصوص!$F$3:$F$20,A20)</f>
        <v>0</v>
      </c>
      <c r="C20" s="8" t="str">
        <f aca="false">IFERROR(AVERAGEIF(النصوص!$F$3:$F$20,A20,النصوص!$N$3:$N$20),"")</f>
        <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10"/>
    <col collapsed="false" customWidth="true" hidden="false" outlineLevel="0" max="5" min="4" style="0" width="12"/>
    <col collapsed="false" customWidth="true" hidden="false" outlineLevel="0" max="6" min="6" style="0" width="18"/>
    <col collapsed="false" customWidth="true" hidden="false" outlineLevel="0" max="8" min="7" style="0" width="11"/>
    <col collapsed="false" customWidth="true" hidden="false" outlineLevel="0" max="10" min="9" style="0" width="13"/>
    <col collapsed="false" customWidth="true" hidden="false" outlineLevel="0" max="12" min="11" style="0" width="12"/>
    <col collapsed="false" customWidth="true" hidden="false" outlineLevel="0" max="14" min="13" style="0" width="13"/>
    <col collapsed="false" customWidth="true" hidden="false" outlineLevel="0" max="15" min="15" style="0" width="10"/>
    <col collapsed="false" customWidth="true" hidden="false" outlineLevel="0" max="16" min="16" style="0" width="13"/>
    <col collapsed="false" customWidth="true" hidden="false" outlineLevel="0" max="18" min="17" style="0" width="60"/>
  </cols>
  <sheetData>
    <row r="1" customFormat="false" ht="27.75" hidden="false" customHeight="true" outlineLevel="0" collapsed="false">
      <c r="A1" s="1" t="s">
        <v>18</v>
      </c>
      <c r="B1" s="1"/>
      <c r="C1" s="1"/>
      <c r="D1" s="1"/>
      <c r="E1" s="1"/>
      <c r="F1" s="1"/>
      <c r="G1" s="1"/>
      <c r="H1" s="1"/>
      <c r="I1" s="1"/>
      <c r="J1" s="1"/>
      <c r="K1" s="1"/>
      <c r="L1" s="1"/>
      <c r="M1" s="1"/>
      <c r="N1" s="1"/>
      <c r="O1" s="1"/>
      <c r="P1" s="1"/>
      <c r="Q1" s="1"/>
      <c r="R1" s="1"/>
    </row>
    <row r="2" customFormat="false" ht="23.85" hidden="false" customHeight="false" outlineLevel="0" collapsed="false">
      <c r="A2" s="6" t="s">
        <v>19</v>
      </c>
      <c r="B2" s="6" t="s">
        <v>20</v>
      </c>
      <c r="C2" s="6" t="s">
        <v>21</v>
      </c>
      <c r="D2" s="6" t="s">
        <v>22</v>
      </c>
      <c r="E2" s="6" t="s">
        <v>23</v>
      </c>
      <c r="F2" s="6" t="s">
        <v>12</v>
      </c>
      <c r="G2" s="6" t="s">
        <v>24</v>
      </c>
      <c r="H2" s="6" t="s">
        <v>25</v>
      </c>
      <c r="I2" s="6" t="s">
        <v>26</v>
      </c>
      <c r="J2" s="6" t="s">
        <v>27</v>
      </c>
      <c r="K2" s="6" t="s">
        <v>28</v>
      </c>
      <c r="L2" s="6" t="s">
        <v>29</v>
      </c>
      <c r="M2" s="6" t="s">
        <v>30</v>
      </c>
      <c r="N2" s="6" t="s">
        <v>31</v>
      </c>
      <c r="O2" s="6" t="s">
        <v>32</v>
      </c>
      <c r="P2" s="6" t="s">
        <v>33</v>
      </c>
      <c r="Q2" s="6" t="s">
        <v>34</v>
      </c>
      <c r="R2" s="6" t="s">
        <v>35</v>
      </c>
    </row>
    <row r="3" customFormat="false" ht="57.45" hidden="false" customHeight="false" outlineLevel="0" collapsed="false">
      <c r="A3" s="9" t="s">
        <v>36</v>
      </c>
      <c r="B3" s="9" t="s">
        <v>37</v>
      </c>
      <c r="C3" s="9" t="s">
        <v>38</v>
      </c>
      <c r="D3" s="9" t="s">
        <v>39</v>
      </c>
      <c r="E3" s="9" t="s">
        <v>40</v>
      </c>
      <c r="F3" s="9" t="s">
        <v>14</v>
      </c>
      <c r="G3" s="9" t="n">
        <v>50</v>
      </c>
      <c r="H3" s="9" t="n">
        <v>52</v>
      </c>
      <c r="I3" s="9" t="n">
        <v>8.3</v>
      </c>
      <c r="J3" s="9" t="n">
        <v>8.7</v>
      </c>
      <c r="K3" s="9" t="n">
        <v>0</v>
      </c>
      <c r="L3" s="9" t="n">
        <v>0</v>
      </c>
      <c r="M3" s="9" t="n">
        <v>85</v>
      </c>
      <c r="N3" s="9" t="n">
        <v>85</v>
      </c>
      <c r="O3" s="9" t="n">
        <f aca="false">N3-M3</f>
        <v>0</v>
      </c>
      <c r="P3" s="9" t="n">
        <f aca="false">L3-K3</f>
        <v>0</v>
      </c>
      <c r="Q3" s="9" t="s">
        <v>41</v>
      </c>
      <c r="R3" s="9" t="s">
        <v>42</v>
      </c>
    </row>
    <row r="4" customFormat="false" ht="57.45" hidden="false" customHeight="false" outlineLevel="0" collapsed="false">
      <c r="A4" s="9" t="s">
        <v>43</v>
      </c>
      <c r="B4" s="9" t="s">
        <v>44</v>
      </c>
      <c r="C4" s="9" t="s">
        <v>38</v>
      </c>
      <c r="D4" s="9" t="s">
        <v>39</v>
      </c>
      <c r="E4" s="9" t="s">
        <v>40</v>
      </c>
      <c r="F4" s="9" t="s">
        <v>14</v>
      </c>
      <c r="G4" s="9" t="n">
        <v>43</v>
      </c>
      <c r="H4" s="9" t="n">
        <v>44</v>
      </c>
      <c r="I4" s="9" t="n">
        <v>4.8</v>
      </c>
      <c r="J4" s="9" t="n">
        <v>5.5</v>
      </c>
      <c r="K4" s="9" t="n">
        <v>0</v>
      </c>
      <c r="L4" s="9" t="n">
        <v>0</v>
      </c>
      <c r="M4" s="9" t="n">
        <v>85</v>
      </c>
      <c r="N4" s="9" t="n">
        <v>85</v>
      </c>
      <c r="O4" s="9" t="n">
        <f aca="false">N4-M4</f>
        <v>0</v>
      </c>
      <c r="P4" s="9" t="n">
        <f aca="false">L4-K4</f>
        <v>0</v>
      </c>
      <c r="Q4" s="9" t="s">
        <v>45</v>
      </c>
      <c r="R4" s="9" t="s">
        <v>46</v>
      </c>
    </row>
    <row r="5" customFormat="false" ht="57.45" hidden="false" customHeight="false" outlineLevel="0" collapsed="false">
      <c r="A5" s="9" t="s">
        <v>47</v>
      </c>
      <c r="B5" s="9" t="s">
        <v>48</v>
      </c>
      <c r="C5" s="9" t="s">
        <v>38</v>
      </c>
      <c r="D5" s="9" t="s">
        <v>39</v>
      </c>
      <c r="E5" s="9" t="s">
        <v>40</v>
      </c>
      <c r="F5" s="9" t="s">
        <v>15</v>
      </c>
      <c r="G5" s="9" t="n">
        <v>46</v>
      </c>
      <c r="H5" s="9" t="n">
        <v>43</v>
      </c>
      <c r="I5" s="9" t="n">
        <v>9.2</v>
      </c>
      <c r="J5" s="9" t="n">
        <v>7.2</v>
      </c>
      <c r="K5" s="9" t="n">
        <v>0</v>
      </c>
      <c r="L5" s="9" t="n">
        <v>0</v>
      </c>
      <c r="M5" s="9" t="n">
        <v>85</v>
      </c>
      <c r="N5" s="9" t="n">
        <v>85</v>
      </c>
      <c r="O5" s="9" t="n">
        <f aca="false">N5-M5</f>
        <v>0</v>
      </c>
      <c r="P5" s="9" t="n">
        <f aca="false">L5-K5</f>
        <v>0</v>
      </c>
      <c r="Q5" s="9" t="s">
        <v>49</v>
      </c>
      <c r="R5" s="9" t="s">
        <v>50</v>
      </c>
    </row>
    <row r="6" customFormat="false" ht="68.65" hidden="false" customHeight="false" outlineLevel="0" collapsed="false">
      <c r="A6" s="9" t="s">
        <v>51</v>
      </c>
      <c r="B6" s="9" t="s">
        <v>52</v>
      </c>
      <c r="C6" s="9" t="s">
        <v>38</v>
      </c>
      <c r="D6" s="9" t="s">
        <v>39</v>
      </c>
      <c r="E6" s="9" t="s">
        <v>40</v>
      </c>
      <c r="F6" s="9" t="s">
        <v>14</v>
      </c>
      <c r="G6" s="9" t="n">
        <v>54</v>
      </c>
      <c r="H6" s="9" t="n">
        <v>55</v>
      </c>
      <c r="I6" s="9" t="n">
        <v>7.7</v>
      </c>
      <c r="J6" s="9" t="n">
        <v>7.9</v>
      </c>
      <c r="K6" s="9" t="n">
        <v>0</v>
      </c>
      <c r="L6" s="9" t="n">
        <v>0</v>
      </c>
      <c r="M6" s="9" t="n">
        <v>85</v>
      </c>
      <c r="N6" s="9" t="n">
        <v>70</v>
      </c>
      <c r="O6" s="9" t="n">
        <f aca="false">N6-M6</f>
        <v>-15</v>
      </c>
      <c r="P6" s="9" t="n">
        <f aca="false">L6-K6</f>
        <v>0</v>
      </c>
      <c r="Q6" s="9" t="s">
        <v>53</v>
      </c>
      <c r="R6" s="9" t="s">
        <v>54</v>
      </c>
    </row>
    <row r="7" customFormat="false" ht="57.45" hidden="false" customHeight="false" outlineLevel="0" collapsed="false">
      <c r="A7" s="9" t="s">
        <v>55</v>
      </c>
      <c r="B7" s="9" t="s">
        <v>56</v>
      </c>
      <c r="C7" s="9" t="s">
        <v>38</v>
      </c>
      <c r="D7" s="9" t="s">
        <v>39</v>
      </c>
      <c r="E7" s="9" t="s">
        <v>40</v>
      </c>
      <c r="F7" s="9" t="s">
        <v>14</v>
      </c>
      <c r="G7" s="9" t="n">
        <v>36</v>
      </c>
      <c r="H7" s="9" t="n">
        <v>40</v>
      </c>
      <c r="I7" s="9" t="n">
        <v>6</v>
      </c>
      <c r="J7" s="9" t="n">
        <v>5</v>
      </c>
      <c r="K7" s="9" t="n">
        <v>0</v>
      </c>
      <c r="L7" s="9" t="n">
        <v>0</v>
      </c>
      <c r="M7" s="9" t="n">
        <v>100</v>
      </c>
      <c r="N7" s="9" t="n">
        <v>100</v>
      </c>
      <c r="O7" s="9" t="n">
        <f aca="false">N7-M7</f>
        <v>0</v>
      </c>
      <c r="P7" s="9" t="n">
        <f aca="false">L7-K7</f>
        <v>0</v>
      </c>
      <c r="Q7" s="9" t="s">
        <v>57</v>
      </c>
      <c r="R7" s="9" t="s">
        <v>58</v>
      </c>
    </row>
    <row r="8" customFormat="false" ht="46.25" hidden="false" customHeight="false" outlineLevel="0" collapsed="false">
      <c r="A8" s="9" t="s">
        <v>59</v>
      </c>
      <c r="B8" s="9" t="s">
        <v>60</v>
      </c>
      <c r="C8" s="9" t="s">
        <v>38</v>
      </c>
      <c r="D8" s="9" t="s">
        <v>39</v>
      </c>
      <c r="E8" s="9" t="s">
        <v>40</v>
      </c>
      <c r="F8" s="9" t="s">
        <v>15</v>
      </c>
      <c r="G8" s="9" t="n">
        <v>38</v>
      </c>
      <c r="H8" s="9" t="n">
        <v>36</v>
      </c>
      <c r="I8" s="9" t="n">
        <v>7.6</v>
      </c>
      <c r="J8" s="9" t="n">
        <v>7.2</v>
      </c>
      <c r="K8" s="9" t="n">
        <v>0</v>
      </c>
      <c r="L8" s="9" t="n">
        <v>0</v>
      </c>
      <c r="M8" s="9" t="n">
        <v>100</v>
      </c>
      <c r="N8" s="9" t="n">
        <v>100</v>
      </c>
      <c r="O8" s="9" t="n">
        <f aca="false">N8-M8</f>
        <v>0</v>
      </c>
      <c r="P8" s="9" t="n">
        <f aca="false">L8-K8</f>
        <v>0</v>
      </c>
      <c r="Q8" s="9" t="s">
        <v>61</v>
      </c>
      <c r="R8" s="9" t="s">
        <v>62</v>
      </c>
    </row>
    <row r="9" customFormat="false" ht="68.65" hidden="false" customHeight="false" outlineLevel="0" collapsed="false">
      <c r="A9" s="9" t="s">
        <v>63</v>
      </c>
      <c r="B9" s="9" t="s">
        <v>64</v>
      </c>
      <c r="C9" s="9" t="s">
        <v>38</v>
      </c>
      <c r="D9" s="9" t="s">
        <v>39</v>
      </c>
      <c r="E9" s="9" t="s">
        <v>40</v>
      </c>
      <c r="F9" s="9" t="s">
        <v>14</v>
      </c>
      <c r="G9" s="9" t="n">
        <v>46</v>
      </c>
      <c r="H9" s="9" t="n">
        <v>46</v>
      </c>
      <c r="I9" s="9" t="n">
        <v>9.2</v>
      </c>
      <c r="J9" s="9" t="n">
        <v>7.7</v>
      </c>
      <c r="K9" s="9" t="n">
        <v>0</v>
      </c>
      <c r="L9" s="9" t="n">
        <v>0</v>
      </c>
      <c r="M9" s="9" t="n">
        <v>82</v>
      </c>
      <c r="N9" s="9" t="n">
        <v>73</v>
      </c>
      <c r="O9" s="9" t="n">
        <f aca="false">N9-M9</f>
        <v>-9</v>
      </c>
      <c r="P9" s="9" t="n">
        <f aca="false">L9-K9</f>
        <v>0</v>
      </c>
      <c r="Q9" s="9" t="s">
        <v>65</v>
      </c>
      <c r="R9" s="9" t="s">
        <v>66</v>
      </c>
    </row>
    <row r="10" customFormat="false" ht="46.25" hidden="false" customHeight="false" outlineLevel="0" collapsed="false">
      <c r="A10" s="9" t="s">
        <v>67</v>
      </c>
      <c r="B10" s="9" t="s">
        <v>68</v>
      </c>
      <c r="C10" s="9" t="s">
        <v>38</v>
      </c>
      <c r="D10" s="9" t="s">
        <v>39</v>
      </c>
      <c r="E10" s="9" t="s">
        <v>40</v>
      </c>
      <c r="F10" s="9" t="s">
        <v>14</v>
      </c>
      <c r="G10" s="9" t="n">
        <v>41</v>
      </c>
      <c r="H10" s="9" t="n">
        <v>44</v>
      </c>
      <c r="I10" s="9" t="n">
        <v>5.1</v>
      </c>
      <c r="J10" s="9" t="n">
        <v>7.3</v>
      </c>
      <c r="K10" s="9" t="n">
        <v>0</v>
      </c>
      <c r="L10" s="9" t="n">
        <v>0</v>
      </c>
      <c r="M10" s="9" t="n">
        <v>85</v>
      </c>
      <c r="N10" s="9" t="n">
        <v>85</v>
      </c>
      <c r="O10" s="9" t="n">
        <f aca="false">N10-M10</f>
        <v>0</v>
      </c>
      <c r="P10" s="9" t="n">
        <f aca="false">L10-K10</f>
        <v>0</v>
      </c>
      <c r="Q10" s="9" t="s">
        <v>69</v>
      </c>
      <c r="R10" s="9" t="s">
        <v>70</v>
      </c>
    </row>
    <row r="11" customFormat="false" ht="57.45" hidden="false" customHeight="false" outlineLevel="0" collapsed="false">
      <c r="A11" s="9" t="s">
        <v>71</v>
      </c>
      <c r="B11" s="9" t="s">
        <v>72</v>
      </c>
      <c r="C11" s="9" t="s">
        <v>38</v>
      </c>
      <c r="D11" s="9" t="s">
        <v>39</v>
      </c>
      <c r="E11" s="9" t="s">
        <v>40</v>
      </c>
      <c r="F11" s="9" t="s">
        <v>15</v>
      </c>
      <c r="G11" s="9" t="n">
        <v>38</v>
      </c>
      <c r="H11" s="9" t="n">
        <v>36</v>
      </c>
      <c r="I11" s="9" t="n">
        <v>7.6</v>
      </c>
      <c r="J11" s="9" t="n">
        <v>7.2</v>
      </c>
      <c r="K11" s="9" t="n">
        <v>0</v>
      </c>
      <c r="L11" s="9" t="n">
        <v>0</v>
      </c>
      <c r="M11" s="9" t="n">
        <v>100</v>
      </c>
      <c r="N11" s="9" t="n">
        <v>100</v>
      </c>
      <c r="O11" s="9" t="n">
        <f aca="false">N11-M11</f>
        <v>0</v>
      </c>
      <c r="P11" s="9" t="n">
        <f aca="false">L11-K11</f>
        <v>0</v>
      </c>
      <c r="Q11" s="9" t="s">
        <v>73</v>
      </c>
      <c r="R11" s="9" t="s">
        <v>74</v>
      </c>
    </row>
    <row r="12" customFormat="false" ht="57.45" hidden="false" customHeight="false" outlineLevel="0" collapsed="false">
      <c r="A12" s="9" t="s">
        <v>75</v>
      </c>
      <c r="B12" s="9" t="s">
        <v>76</v>
      </c>
      <c r="C12" s="9" t="s">
        <v>38</v>
      </c>
      <c r="D12" s="9" t="s">
        <v>39</v>
      </c>
      <c r="E12" s="9" t="s">
        <v>40</v>
      </c>
      <c r="F12" s="9" t="s">
        <v>14</v>
      </c>
      <c r="G12" s="9" t="n">
        <v>45</v>
      </c>
      <c r="H12" s="9" t="n">
        <v>46</v>
      </c>
      <c r="I12" s="9" t="n">
        <v>7.5</v>
      </c>
      <c r="J12" s="9" t="n">
        <v>5.8</v>
      </c>
      <c r="K12" s="9" t="n">
        <v>0</v>
      </c>
      <c r="L12" s="9" t="n">
        <v>0</v>
      </c>
      <c r="M12" s="9" t="n">
        <v>85</v>
      </c>
      <c r="N12" s="9" t="n">
        <v>85</v>
      </c>
      <c r="O12" s="9" t="n">
        <f aca="false">N12-M12</f>
        <v>0</v>
      </c>
      <c r="P12" s="9" t="n">
        <f aca="false">L12-K12</f>
        <v>0</v>
      </c>
      <c r="Q12" s="9" t="s">
        <v>77</v>
      </c>
      <c r="R12" s="9" t="s">
        <v>78</v>
      </c>
    </row>
    <row r="13" customFormat="false" ht="68.65" hidden="false" customHeight="false" outlineLevel="0" collapsed="false">
      <c r="A13" s="9" t="s">
        <v>79</v>
      </c>
      <c r="B13" s="9" t="s">
        <v>80</v>
      </c>
      <c r="C13" s="9" t="s">
        <v>38</v>
      </c>
      <c r="D13" s="9" t="s">
        <v>39</v>
      </c>
      <c r="E13" s="9" t="s">
        <v>40</v>
      </c>
      <c r="F13" s="9" t="s">
        <v>13</v>
      </c>
      <c r="G13" s="9" t="n">
        <v>55</v>
      </c>
      <c r="H13" s="9" t="n">
        <v>57</v>
      </c>
      <c r="I13" s="9" t="n">
        <v>11</v>
      </c>
      <c r="J13" s="9" t="n">
        <v>11.4</v>
      </c>
      <c r="K13" s="9" t="n">
        <v>0</v>
      </c>
      <c r="L13" s="9" t="n">
        <v>0</v>
      </c>
      <c r="M13" s="9" t="n">
        <v>85</v>
      </c>
      <c r="N13" s="9" t="n">
        <v>85</v>
      </c>
      <c r="O13" s="9" t="n">
        <f aca="false">N13-M13</f>
        <v>0</v>
      </c>
      <c r="P13" s="9" t="n">
        <f aca="false">L13-K13</f>
        <v>0</v>
      </c>
      <c r="Q13" s="9" t="s">
        <v>81</v>
      </c>
      <c r="R13" s="9" t="s">
        <v>82</v>
      </c>
    </row>
    <row r="14" customFormat="false" ht="46.25" hidden="false" customHeight="false" outlineLevel="0" collapsed="false">
      <c r="A14" s="9" t="s">
        <v>83</v>
      </c>
      <c r="B14" s="9" t="s">
        <v>84</v>
      </c>
      <c r="C14" s="9" t="s">
        <v>38</v>
      </c>
      <c r="D14" s="9" t="s">
        <v>39</v>
      </c>
      <c r="E14" s="9" t="s">
        <v>40</v>
      </c>
      <c r="F14" s="9" t="s">
        <v>15</v>
      </c>
      <c r="G14" s="9" t="n">
        <v>36</v>
      </c>
      <c r="H14" s="9" t="n">
        <v>36</v>
      </c>
      <c r="I14" s="9" t="n">
        <v>7.2</v>
      </c>
      <c r="J14" s="9" t="n">
        <v>7.2</v>
      </c>
      <c r="K14" s="9" t="n">
        <v>0</v>
      </c>
      <c r="L14" s="9" t="n">
        <v>0</v>
      </c>
      <c r="M14" s="9" t="n">
        <v>100</v>
      </c>
      <c r="N14" s="9" t="n">
        <v>100</v>
      </c>
      <c r="O14" s="9" t="n">
        <f aca="false">N14-M14</f>
        <v>0</v>
      </c>
      <c r="P14" s="9" t="n">
        <f aca="false">L14-K14</f>
        <v>0</v>
      </c>
      <c r="Q14" s="9" t="s">
        <v>85</v>
      </c>
      <c r="R14" s="9" t="s">
        <v>86</v>
      </c>
    </row>
    <row r="15" customFormat="false" ht="57.45" hidden="false" customHeight="false" outlineLevel="0" collapsed="false">
      <c r="A15" s="9" t="s">
        <v>87</v>
      </c>
      <c r="B15" s="9" t="s">
        <v>88</v>
      </c>
      <c r="C15" s="9" t="s">
        <v>38</v>
      </c>
      <c r="D15" s="9" t="s">
        <v>39</v>
      </c>
      <c r="E15" s="9" t="s">
        <v>40</v>
      </c>
      <c r="F15" s="9" t="s">
        <v>14</v>
      </c>
      <c r="G15" s="9" t="n">
        <v>42</v>
      </c>
      <c r="H15" s="9" t="n">
        <v>41</v>
      </c>
      <c r="I15" s="9" t="n">
        <v>7</v>
      </c>
      <c r="J15" s="9" t="n">
        <v>5.9</v>
      </c>
      <c r="K15" s="9" t="n">
        <v>0</v>
      </c>
      <c r="L15" s="9" t="n">
        <v>0</v>
      </c>
      <c r="M15" s="9" t="n">
        <v>70</v>
      </c>
      <c r="N15" s="9" t="n">
        <v>60</v>
      </c>
      <c r="O15" s="9" t="n">
        <f aca="false">N15-M15</f>
        <v>-10</v>
      </c>
      <c r="P15" s="9" t="n">
        <f aca="false">L15-K15</f>
        <v>0</v>
      </c>
      <c r="Q15" s="9" t="s">
        <v>89</v>
      </c>
      <c r="R15" s="9" t="s">
        <v>90</v>
      </c>
    </row>
    <row r="16" customFormat="false" ht="57.45" hidden="false" customHeight="false" outlineLevel="0" collapsed="false">
      <c r="A16" s="9" t="s">
        <v>91</v>
      </c>
      <c r="B16" s="9" t="s">
        <v>92</v>
      </c>
      <c r="C16" s="9" t="s">
        <v>38</v>
      </c>
      <c r="D16" s="9" t="s">
        <v>39</v>
      </c>
      <c r="E16" s="9" t="s">
        <v>40</v>
      </c>
      <c r="F16" s="9" t="s">
        <v>14</v>
      </c>
      <c r="G16" s="9" t="n">
        <v>43</v>
      </c>
      <c r="H16" s="9" t="n">
        <v>41</v>
      </c>
      <c r="I16" s="9" t="n">
        <v>8.6</v>
      </c>
      <c r="J16" s="9" t="n">
        <v>8.2</v>
      </c>
      <c r="K16" s="9" t="n">
        <v>0</v>
      </c>
      <c r="L16" s="9" t="n">
        <v>0</v>
      </c>
      <c r="M16" s="9" t="n">
        <v>85</v>
      </c>
      <c r="N16" s="9" t="n">
        <v>85</v>
      </c>
      <c r="O16" s="9" t="n">
        <f aca="false">N16-M16</f>
        <v>0</v>
      </c>
      <c r="P16" s="9" t="n">
        <f aca="false">L16-K16</f>
        <v>0</v>
      </c>
      <c r="Q16" s="9" t="s">
        <v>93</v>
      </c>
      <c r="R16" s="9" t="s">
        <v>94</v>
      </c>
    </row>
    <row r="17" customFormat="false" ht="46.25" hidden="false" customHeight="false" outlineLevel="0" collapsed="false">
      <c r="A17" s="9" t="s">
        <v>95</v>
      </c>
      <c r="B17" s="9" t="s">
        <v>96</v>
      </c>
      <c r="C17" s="9" t="s">
        <v>38</v>
      </c>
      <c r="D17" s="9" t="s">
        <v>39</v>
      </c>
      <c r="E17" s="9" t="s">
        <v>40</v>
      </c>
      <c r="F17" s="9" t="s">
        <v>15</v>
      </c>
      <c r="G17" s="9" t="n">
        <v>38</v>
      </c>
      <c r="H17" s="9" t="n">
        <v>37</v>
      </c>
      <c r="I17" s="9" t="n">
        <v>5.4</v>
      </c>
      <c r="J17" s="9" t="n">
        <v>5.3</v>
      </c>
      <c r="K17" s="9" t="n">
        <v>0</v>
      </c>
      <c r="L17" s="9" t="n">
        <v>0</v>
      </c>
      <c r="M17" s="9" t="n">
        <v>82</v>
      </c>
      <c r="N17" s="9" t="n">
        <v>83</v>
      </c>
      <c r="O17" s="9" t="n">
        <f aca="false">N17-M17</f>
        <v>1</v>
      </c>
      <c r="P17" s="9" t="n">
        <f aca="false">L17-K17</f>
        <v>0</v>
      </c>
      <c r="Q17" s="9" t="s">
        <v>97</v>
      </c>
      <c r="R17" s="9" t="s">
        <v>98</v>
      </c>
    </row>
    <row r="18" customFormat="false" ht="23.85" hidden="false" customHeight="false" outlineLevel="0" collapsed="false">
      <c r="A18" s="9" t="s">
        <v>99</v>
      </c>
      <c r="B18" s="9" t="s">
        <v>100</v>
      </c>
      <c r="C18" s="9" t="s">
        <v>38</v>
      </c>
      <c r="D18" s="9" t="s">
        <v>39</v>
      </c>
      <c r="E18" s="9" t="s">
        <v>40</v>
      </c>
      <c r="F18" s="9" t="s">
        <v>14</v>
      </c>
      <c r="G18" s="9" t="n">
        <v>9</v>
      </c>
      <c r="H18" s="9" t="n">
        <v>9</v>
      </c>
      <c r="I18" s="9" t="n">
        <v>4.5</v>
      </c>
      <c r="J18" s="9" t="n">
        <v>4.5</v>
      </c>
      <c r="K18" s="9" t="n">
        <v>0</v>
      </c>
      <c r="L18" s="9" t="n">
        <v>0</v>
      </c>
      <c r="M18" s="9" t="n">
        <v>83</v>
      </c>
      <c r="N18" s="9" t="n">
        <v>83</v>
      </c>
      <c r="O18" s="9" t="n">
        <f aca="false">N18-M18</f>
        <v>0</v>
      </c>
      <c r="P18" s="9" t="n">
        <f aca="false">L18-K18</f>
        <v>0</v>
      </c>
      <c r="Q18" s="9" t="s">
        <v>101</v>
      </c>
      <c r="R18" s="9" t="s">
        <v>101</v>
      </c>
    </row>
    <row r="19" customFormat="false" ht="23.85" hidden="false" customHeight="false" outlineLevel="0" collapsed="false">
      <c r="A19" s="9" t="s">
        <v>102</v>
      </c>
      <c r="B19" s="9" t="s">
        <v>100</v>
      </c>
      <c r="C19" s="9" t="s">
        <v>38</v>
      </c>
      <c r="D19" s="9" t="s">
        <v>39</v>
      </c>
      <c r="E19" s="9" t="s">
        <v>40</v>
      </c>
      <c r="F19" s="9" t="s">
        <v>14</v>
      </c>
      <c r="G19" s="9" t="n">
        <v>14</v>
      </c>
      <c r="H19" s="9" t="n">
        <v>18</v>
      </c>
      <c r="I19" s="9" t="n">
        <v>7</v>
      </c>
      <c r="J19" s="9" t="n">
        <v>9</v>
      </c>
      <c r="K19" s="9" t="n">
        <v>0</v>
      </c>
      <c r="L19" s="9" t="n">
        <v>0</v>
      </c>
      <c r="M19" s="9" t="n">
        <v>64</v>
      </c>
      <c r="N19" s="9" t="n">
        <v>83</v>
      </c>
      <c r="O19" s="9" t="n">
        <f aca="false">N19-M19</f>
        <v>19</v>
      </c>
      <c r="P19" s="9" t="n">
        <f aca="false">L19-K19</f>
        <v>0</v>
      </c>
      <c r="Q19" s="9" t="s">
        <v>103</v>
      </c>
      <c r="R19" s="9" t="s">
        <v>104</v>
      </c>
    </row>
    <row r="20" customFormat="false" ht="35.05" hidden="false" customHeight="false" outlineLevel="0" collapsed="false">
      <c r="A20" s="9" t="s">
        <v>105</v>
      </c>
      <c r="B20" s="9" t="s">
        <v>100</v>
      </c>
      <c r="C20" s="9" t="s">
        <v>38</v>
      </c>
      <c r="D20" s="9" t="s">
        <v>39</v>
      </c>
      <c r="E20" s="9" t="s">
        <v>40</v>
      </c>
      <c r="F20" s="9" t="s">
        <v>14</v>
      </c>
      <c r="G20" s="9" t="n">
        <v>19</v>
      </c>
      <c r="H20" s="9" t="n">
        <v>15</v>
      </c>
      <c r="I20" s="9" t="n">
        <v>6.3</v>
      </c>
      <c r="J20" s="9" t="n">
        <v>5</v>
      </c>
      <c r="K20" s="9" t="n">
        <v>0</v>
      </c>
      <c r="L20" s="9" t="n">
        <v>0</v>
      </c>
      <c r="M20" s="9" t="n">
        <v>82</v>
      </c>
      <c r="N20" s="9" t="n">
        <v>100</v>
      </c>
      <c r="O20" s="9" t="n">
        <f aca="false">N20-M20</f>
        <v>18</v>
      </c>
      <c r="P20" s="9" t="n">
        <f aca="false">L20-K20</f>
        <v>0</v>
      </c>
      <c r="Q20" s="9" t="s">
        <v>106</v>
      </c>
      <c r="R20" s="9" t="s">
        <v>107</v>
      </c>
    </row>
  </sheetData>
  <autoFilter ref="A2:R20"/>
  <mergeCells count="1">
    <mergeCell ref="A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0"/>
    <col collapsed="false" customWidth="true" hidden="false" outlineLevel="0" max="7" min="4" style="0" width="13"/>
    <col collapsed="false" customWidth="true" hidden="false" outlineLevel="0" max="9" min="8" style="0" width="16"/>
    <col collapsed="false" customWidth="true" hidden="false" outlineLevel="0" max="11" min="10" style="0" width="13"/>
    <col collapsed="false" customWidth="true" hidden="false" outlineLevel="0" max="13" min="12" style="0" width="11"/>
  </cols>
  <sheetData>
    <row r="1" customFormat="false" ht="27.75" hidden="false" customHeight="true" outlineLevel="0" collapsed="false">
      <c r="A1" s="1" t="s">
        <v>108</v>
      </c>
      <c r="B1" s="1"/>
      <c r="C1" s="1"/>
      <c r="D1" s="1"/>
      <c r="E1" s="1"/>
      <c r="F1" s="1"/>
      <c r="G1" s="1"/>
      <c r="H1" s="1"/>
      <c r="I1" s="1"/>
    </row>
    <row r="2" customFormat="false" ht="23.85" hidden="false" customHeight="false" outlineLevel="0" collapsed="false">
      <c r="A2" s="6" t="s">
        <v>19</v>
      </c>
      <c r="B2" s="6" t="s">
        <v>109</v>
      </c>
      <c r="C2" s="6" t="s">
        <v>110</v>
      </c>
      <c r="D2" s="6" t="s">
        <v>111</v>
      </c>
      <c r="E2" s="6" t="s">
        <v>112</v>
      </c>
      <c r="F2" s="6" t="s">
        <v>113</v>
      </c>
      <c r="G2" s="6" t="s">
        <v>114</v>
      </c>
      <c r="H2" s="6" t="s">
        <v>115</v>
      </c>
      <c r="I2" s="6" t="s">
        <v>116</v>
      </c>
      <c r="J2" s="6" t="s">
        <v>117</v>
      </c>
      <c r="K2" s="6" t="s">
        <v>118</v>
      </c>
      <c r="L2" s="6" t="s">
        <v>119</v>
      </c>
      <c r="M2" s="6" t="s">
        <v>120</v>
      </c>
    </row>
    <row r="3" customFormat="false" ht="15" hidden="false" customHeight="false" outlineLevel="0" collapsed="false">
      <c r="A3" s="9" t="s">
        <v>36</v>
      </c>
      <c r="B3" s="9" t="n">
        <v>6</v>
      </c>
      <c r="C3" s="9" t="n">
        <v>6</v>
      </c>
      <c r="D3" s="9" t="n">
        <v>5.2</v>
      </c>
      <c r="E3" s="9" t="n">
        <v>5.7</v>
      </c>
      <c r="F3" s="9" t="n">
        <v>0.63</v>
      </c>
      <c r="G3" s="9" t="n">
        <v>0.66</v>
      </c>
      <c r="H3" s="9" t="n">
        <v>0</v>
      </c>
      <c r="I3" s="9" t="n">
        <v>0</v>
      </c>
      <c r="J3" s="9" t="n">
        <v>0</v>
      </c>
      <c r="K3" s="9" t="n">
        <v>0</v>
      </c>
      <c r="L3" s="9" t="n">
        <v>1</v>
      </c>
      <c r="M3" s="9" t="n">
        <v>1</v>
      </c>
    </row>
    <row r="4" customFormat="false" ht="15" hidden="false" customHeight="false" outlineLevel="0" collapsed="false">
      <c r="A4" s="9" t="s">
        <v>43</v>
      </c>
      <c r="B4" s="9" t="n">
        <v>9</v>
      </c>
      <c r="C4" s="9" t="n">
        <v>8</v>
      </c>
      <c r="D4" s="9" t="n">
        <v>2.9</v>
      </c>
      <c r="E4" s="9" t="n">
        <v>2.8</v>
      </c>
      <c r="F4" s="9" t="n">
        <v>0.61</v>
      </c>
      <c r="G4" s="9" t="n">
        <v>0.51</v>
      </c>
      <c r="H4" s="9" t="n">
        <v>0</v>
      </c>
      <c r="I4" s="9" t="n">
        <v>0</v>
      </c>
      <c r="J4" s="9" t="n">
        <v>0</v>
      </c>
      <c r="K4" s="9" t="n">
        <v>0</v>
      </c>
      <c r="L4" s="9" t="n">
        <v>0</v>
      </c>
      <c r="M4" s="9" t="n">
        <v>0</v>
      </c>
    </row>
    <row r="5" customFormat="false" ht="15" hidden="false" customHeight="false" outlineLevel="0" collapsed="false">
      <c r="A5" s="9" t="s">
        <v>47</v>
      </c>
      <c r="B5" s="9" t="n">
        <v>5</v>
      </c>
      <c r="C5" s="9" t="n">
        <v>6</v>
      </c>
      <c r="D5" s="9" t="n">
        <v>5.2</v>
      </c>
      <c r="E5" s="9" t="n">
        <v>3.8</v>
      </c>
      <c r="F5" s="9" t="n">
        <v>0.56</v>
      </c>
      <c r="G5" s="9" t="n">
        <v>0.52</v>
      </c>
      <c r="H5" s="9" t="n">
        <v>0</v>
      </c>
      <c r="I5" s="9" t="n">
        <v>0</v>
      </c>
      <c r="J5" s="9" t="n">
        <v>0</v>
      </c>
      <c r="K5" s="9" t="n">
        <v>0</v>
      </c>
      <c r="L5" s="9" t="n">
        <v>0</v>
      </c>
      <c r="M5" s="9" t="n">
        <v>0</v>
      </c>
    </row>
    <row r="6" customFormat="false" ht="15" hidden="false" customHeight="false" outlineLevel="0" collapsed="false">
      <c r="A6" s="9" t="s">
        <v>51</v>
      </c>
      <c r="B6" s="9" t="n">
        <v>7</v>
      </c>
      <c r="C6" s="9" t="n">
        <v>7</v>
      </c>
      <c r="D6" s="9" t="n">
        <v>3.8</v>
      </c>
      <c r="E6" s="9" t="n">
        <v>2.7</v>
      </c>
      <c r="F6" s="9" t="n">
        <v>0.5</v>
      </c>
      <c r="G6" s="9" t="n">
        <v>0.35</v>
      </c>
      <c r="H6" s="9" t="n">
        <v>0</v>
      </c>
      <c r="I6" s="9" t="n">
        <v>0</v>
      </c>
      <c r="J6" s="9" t="n">
        <v>0</v>
      </c>
      <c r="K6" s="9" t="n">
        <v>0</v>
      </c>
      <c r="L6" s="9" t="n">
        <v>0</v>
      </c>
      <c r="M6" s="9" t="n">
        <v>0</v>
      </c>
    </row>
    <row r="7" customFormat="false" ht="15" hidden="false" customHeight="false" outlineLevel="0" collapsed="false">
      <c r="A7" s="9" t="s">
        <v>55</v>
      </c>
      <c r="B7" s="9" t="n">
        <v>6</v>
      </c>
      <c r="C7" s="9" t="n">
        <v>8</v>
      </c>
      <c r="D7" s="9" t="n">
        <v>5.2</v>
      </c>
      <c r="E7" s="9" t="n">
        <v>3.2</v>
      </c>
      <c r="F7" s="9" t="n">
        <v>0.86</v>
      </c>
      <c r="G7" s="9" t="n">
        <v>0.65</v>
      </c>
      <c r="H7" s="9" t="n">
        <v>1</v>
      </c>
      <c r="I7" s="9" t="n">
        <v>1</v>
      </c>
      <c r="J7" s="9" t="n">
        <v>0</v>
      </c>
      <c r="K7" s="9" t="n">
        <v>0</v>
      </c>
      <c r="L7" s="9" t="n">
        <v>0</v>
      </c>
      <c r="M7" s="9" t="n">
        <v>0</v>
      </c>
    </row>
    <row r="8" customFormat="false" ht="15" hidden="false" customHeight="false" outlineLevel="0" collapsed="false">
      <c r="A8" s="9" t="s">
        <v>59</v>
      </c>
      <c r="B8" s="9" t="n">
        <v>5</v>
      </c>
      <c r="C8" s="9" t="n">
        <v>5</v>
      </c>
      <c r="D8" s="9" t="n">
        <v>4.6</v>
      </c>
      <c r="E8" s="9" t="n">
        <v>4</v>
      </c>
      <c r="F8" s="9" t="n">
        <v>0.61</v>
      </c>
      <c r="G8" s="9" t="n">
        <v>0.55</v>
      </c>
      <c r="H8" s="9" t="n">
        <v>1</v>
      </c>
      <c r="I8" s="9" t="n">
        <v>1</v>
      </c>
      <c r="J8" s="9" t="n">
        <v>0</v>
      </c>
      <c r="K8" s="9" t="n">
        <v>0</v>
      </c>
      <c r="L8" s="9" t="n">
        <v>0</v>
      </c>
      <c r="M8" s="9" t="n">
        <v>0</v>
      </c>
    </row>
    <row r="9" customFormat="false" ht="15" hidden="false" customHeight="false" outlineLevel="0" collapsed="false">
      <c r="A9" s="9" t="s">
        <v>63</v>
      </c>
      <c r="B9" s="9" t="n">
        <v>5</v>
      </c>
      <c r="C9" s="9" t="n">
        <v>6</v>
      </c>
      <c r="D9" s="9" t="n">
        <v>4.3</v>
      </c>
      <c r="E9" s="9" t="n">
        <v>2.9</v>
      </c>
      <c r="F9" s="9" t="n">
        <v>0.47</v>
      </c>
      <c r="G9" s="9" t="n">
        <v>0.38</v>
      </c>
      <c r="H9" s="9" t="n">
        <v>0</v>
      </c>
      <c r="I9" s="9" t="n">
        <v>0</v>
      </c>
      <c r="J9" s="9" t="n">
        <v>0</v>
      </c>
      <c r="K9" s="9" t="n">
        <v>0</v>
      </c>
      <c r="L9" s="9" t="n">
        <v>1</v>
      </c>
      <c r="M9" s="9" t="n">
        <v>1</v>
      </c>
    </row>
    <row r="10" customFormat="false" ht="15" hidden="false" customHeight="false" outlineLevel="0" collapsed="false">
      <c r="A10" s="9" t="s">
        <v>67</v>
      </c>
      <c r="B10" s="9" t="n">
        <v>8</v>
      </c>
      <c r="C10" s="9" t="n">
        <v>6</v>
      </c>
      <c r="D10" s="9" t="n">
        <v>4</v>
      </c>
      <c r="E10" s="9" t="n">
        <v>3.8</v>
      </c>
      <c r="F10" s="9" t="n">
        <v>0.79</v>
      </c>
      <c r="G10" s="9" t="n">
        <v>0.52</v>
      </c>
      <c r="H10" s="9" t="n">
        <v>0</v>
      </c>
      <c r="I10" s="9" t="n">
        <v>0</v>
      </c>
      <c r="J10" s="9" t="n">
        <v>0</v>
      </c>
      <c r="K10" s="9" t="n">
        <v>0</v>
      </c>
      <c r="L10" s="9" t="n">
        <v>0</v>
      </c>
      <c r="M10" s="9" t="n">
        <v>0</v>
      </c>
    </row>
    <row r="11" customFormat="false" ht="15" hidden="false" customHeight="false" outlineLevel="0" collapsed="false">
      <c r="A11" s="9" t="s">
        <v>71</v>
      </c>
      <c r="B11" s="9" t="n">
        <v>5</v>
      </c>
      <c r="C11" s="9" t="n">
        <v>5</v>
      </c>
      <c r="D11" s="9" t="n">
        <v>5.1</v>
      </c>
      <c r="E11" s="9" t="n">
        <v>4.4</v>
      </c>
      <c r="F11" s="9" t="n">
        <v>0.67</v>
      </c>
      <c r="G11" s="9" t="n">
        <v>0.61</v>
      </c>
      <c r="H11" s="9" t="n">
        <v>1</v>
      </c>
      <c r="I11" s="9" t="n">
        <v>1</v>
      </c>
      <c r="J11" s="9" t="n">
        <v>0</v>
      </c>
      <c r="K11" s="9" t="n">
        <v>0</v>
      </c>
      <c r="L11" s="9" t="n">
        <v>0</v>
      </c>
      <c r="M11" s="9" t="n">
        <v>0</v>
      </c>
    </row>
    <row r="12" customFormat="false" ht="15" hidden="false" customHeight="false" outlineLevel="0" collapsed="false">
      <c r="A12" s="9" t="s">
        <v>75</v>
      </c>
      <c r="B12" s="9" t="n">
        <v>6</v>
      </c>
      <c r="C12" s="9" t="n">
        <v>8</v>
      </c>
      <c r="D12" s="9" t="n">
        <v>3.9</v>
      </c>
      <c r="E12" s="9" t="n">
        <v>3.2</v>
      </c>
      <c r="F12" s="9" t="n">
        <v>0.52</v>
      </c>
      <c r="G12" s="9" t="n">
        <v>0.56</v>
      </c>
      <c r="H12" s="9" t="n">
        <v>0</v>
      </c>
      <c r="I12" s="9" t="n">
        <v>0</v>
      </c>
      <c r="J12" s="9" t="n">
        <v>0</v>
      </c>
      <c r="K12" s="9" t="n">
        <v>0</v>
      </c>
      <c r="L12" s="9" t="n">
        <v>0</v>
      </c>
      <c r="M12" s="9" t="n">
        <v>0</v>
      </c>
    </row>
    <row r="13" customFormat="false" ht="15" hidden="false" customHeight="false" outlineLevel="0" collapsed="false">
      <c r="A13" s="9" t="s">
        <v>79</v>
      </c>
      <c r="B13" s="9" t="n">
        <v>5</v>
      </c>
      <c r="C13" s="9" t="n">
        <v>5</v>
      </c>
      <c r="D13" s="9" t="n">
        <v>11</v>
      </c>
      <c r="E13" s="9" t="n">
        <v>11.8</v>
      </c>
      <c r="F13" s="9" t="n">
        <v>1</v>
      </c>
      <c r="G13" s="9" t="n">
        <v>1.04</v>
      </c>
      <c r="H13" s="9" t="n">
        <v>0</v>
      </c>
      <c r="I13" s="9" t="n">
        <v>0</v>
      </c>
      <c r="J13" s="9" t="n">
        <v>1</v>
      </c>
      <c r="K13" s="9" t="n">
        <v>1</v>
      </c>
      <c r="L13" s="9" t="n">
        <v>0</v>
      </c>
      <c r="M13" s="9" t="n">
        <v>0</v>
      </c>
    </row>
    <row r="14" customFormat="false" ht="15" hidden="false" customHeight="false" outlineLevel="0" collapsed="false">
      <c r="A14" s="9" t="s">
        <v>83</v>
      </c>
      <c r="B14" s="9" t="n">
        <v>5</v>
      </c>
      <c r="C14" s="9" t="n">
        <v>5</v>
      </c>
      <c r="D14" s="9" t="n">
        <v>4.9</v>
      </c>
      <c r="E14" s="9" t="n">
        <v>4.9</v>
      </c>
      <c r="F14" s="9" t="n">
        <v>0.68</v>
      </c>
      <c r="G14" s="9" t="n">
        <v>0.68</v>
      </c>
      <c r="H14" s="9" t="n">
        <v>1</v>
      </c>
      <c r="I14" s="9" t="n">
        <v>1</v>
      </c>
      <c r="J14" s="9" t="n">
        <v>0</v>
      </c>
      <c r="K14" s="9" t="n">
        <v>0</v>
      </c>
      <c r="L14" s="9" t="n">
        <v>0</v>
      </c>
      <c r="M14" s="9" t="n">
        <v>0</v>
      </c>
    </row>
    <row r="15" customFormat="false" ht="15" hidden="false" customHeight="false" outlineLevel="0" collapsed="false">
      <c r="A15" s="9" t="s">
        <v>87</v>
      </c>
      <c r="B15" s="9" t="n">
        <v>6</v>
      </c>
      <c r="C15" s="9" t="n">
        <v>7</v>
      </c>
      <c r="D15" s="9" t="n">
        <v>2.4</v>
      </c>
      <c r="E15" s="9" t="n">
        <v>1.5</v>
      </c>
      <c r="F15" s="9" t="n">
        <v>0.35</v>
      </c>
      <c r="G15" s="9" t="n">
        <v>0.25</v>
      </c>
      <c r="H15" s="9" t="n">
        <v>0</v>
      </c>
      <c r="I15" s="9" t="n">
        <v>0</v>
      </c>
      <c r="J15" s="9" t="n">
        <v>0</v>
      </c>
      <c r="K15" s="9" t="n">
        <v>0</v>
      </c>
      <c r="L15" s="9" t="n">
        <v>1</v>
      </c>
      <c r="M15" s="9" t="n">
        <v>1</v>
      </c>
    </row>
    <row r="16" customFormat="false" ht="15" hidden="false" customHeight="false" outlineLevel="0" collapsed="false">
      <c r="A16" s="9" t="s">
        <v>91</v>
      </c>
      <c r="B16" s="9" t="n">
        <v>5</v>
      </c>
      <c r="C16" s="9" t="n">
        <v>5</v>
      </c>
      <c r="D16" s="9" t="n">
        <v>4.8</v>
      </c>
      <c r="E16" s="9" t="n">
        <v>4.2</v>
      </c>
      <c r="F16" s="9" t="n">
        <v>0.56</v>
      </c>
      <c r="G16" s="9" t="n">
        <v>0.51</v>
      </c>
      <c r="H16" s="9" t="n">
        <v>0</v>
      </c>
      <c r="I16" s="9" t="n">
        <v>0</v>
      </c>
      <c r="J16" s="9" t="n">
        <v>0</v>
      </c>
      <c r="K16" s="9" t="n">
        <v>0</v>
      </c>
      <c r="L16" s="9" t="n">
        <v>0</v>
      </c>
      <c r="M16" s="9" t="n">
        <v>0</v>
      </c>
    </row>
    <row r="17" customFormat="false" ht="15" hidden="false" customHeight="false" outlineLevel="0" collapsed="false">
      <c r="A17" s="9" t="s">
        <v>95</v>
      </c>
      <c r="B17" s="9" t="n">
        <v>7</v>
      </c>
      <c r="C17" s="9" t="n">
        <v>7</v>
      </c>
      <c r="D17" s="9" t="n">
        <v>1.8</v>
      </c>
      <c r="E17" s="9" t="n">
        <v>1.7</v>
      </c>
      <c r="F17" s="9" t="n">
        <v>0.32</v>
      </c>
      <c r="G17" s="9" t="n">
        <v>0.33</v>
      </c>
      <c r="H17" s="9" t="n">
        <v>1</v>
      </c>
      <c r="I17" s="9" t="n">
        <v>1</v>
      </c>
      <c r="J17" s="9" t="n">
        <v>0</v>
      </c>
      <c r="K17" s="9" t="n">
        <v>0</v>
      </c>
      <c r="L17" s="9" t="n">
        <v>0</v>
      </c>
      <c r="M17" s="9" t="n">
        <v>0</v>
      </c>
    </row>
    <row r="18" customFormat="false" ht="15" hidden="false" customHeight="false" outlineLevel="0" collapsed="false">
      <c r="A18" s="9" t="s">
        <v>99</v>
      </c>
      <c r="B18" s="9" t="n">
        <v>2</v>
      </c>
      <c r="C18" s="9" t="n">
        <v>2</v>
      </c>
      <c r="D18" s="9" t="n">
        <v>1.5</v>
      </c>
      <c r="E18" s="9" t="n">
        <v>1.5</v>
      </c>
      <c r="F18" s="9" t="n">
        <v>0.33</v>
      </c>
      <c r="G18" s="9" t="n">
        <v>0.33</v>
      </c>
      <c r="H18" s="9" t="n">
        <v>1</v>
      </c>
      <c r="I18" s="9" t="n">
        <v>1</v>
      </c>
      <c r="J18" s="9" t="n">
        <v>0</v>
      </c>
      <c r="K18" s="9" t="n">
        <v>0</v>
      </c>
      <c r="L18" s="9" t="n">
        <v>0</v>
      </c>
      <c r="M18" s="9" t="n">
        <v>0</v>
      </c>
    </row>
    <row r="19" customFormat="false" ht="15" hidden="false" customHeight="false" outlineLevel="0" collapsed="false">
      <c r="A19" s="9" t="s">
        <v>102</v>
      </c>
      <c r="B19" s="9" t="n">
        <v>2</v>
      </c>
      <c r="C19" s="9" t="n">
        <v>2</v>
      </c>
      <c r="D19" s="9" t="n">
        <v>1</v>
      </c>
      <c r="E19" s="9" t="n">
        <v>3</v>
      </c>
      <c r="F19" s="9" t="n">
        <v>0.14</v>
      </c>
      <c r="G19" s="9" t="n">
        <v>0.33</v>
      </c>
      <c r="H19" s="9" t="n">
        <v>1</v>
      </c>
      <c r="I19" s="9" t="n">
        <v>1</v>
      </c>
      <c r="J19" s="9" t="n">
        <v>0</v>
      </c>
      <c r="K19" s="9" t="n">
        <v>0</v>
      </c>
      <c r="L19" s="9" t="n">
        <v>0</v>
      </c>
      <c r="M19" s="9" t="n">
        <v>0</v>
      </c>
    </row>
    <row r="20" customFormat="false" ht="15" hidden="false" customHeight="false" outlineLevel="0" collapsed="false">
      <c r="A20" s="9" t="s">
        <v>105</v>
      </c>
      <c r="B20" s="9" t="n">
        <v>3</v>
      </c>
      <c r="C20" s="9" t="n">
        <v>3</v>
      </c>
      <c r="D20" s="9" t="n">
        <v>2.1</v>
      </c>
      <c r="E20" s="9" t="n">
        <v>2.9</v>
      </c>
      <c r="F20" s="9" t="n">
        <v>0.32</v>
      </c>
      <c r="G20" s="9" t="n">
        <v>0.59</v>
      </c>
      <c r="H20" s="9" t="n">
        <v>1</v>
      </c>
      <c r="I20" s="9" t="n">
        <v>1</v>
      </c>
      <c r="J20" s="9" t="n">
        <v>0</v>
      </c>
      <c r="K20" s="9" t="n">
        <v>0</v>
      </c>
      <c r="L20" s="9" t="n">
        <v>0</v>
      </c>
      <c r="M20" s="9" t="n">
        <v>0</v>
      </c>
    </row>
    <row r="22" customFormat="false" ht="15" hidden="false" customHeight="false" outlineLevel="0" collapsed="false">
      <c r="A22" s="10" t="s">
        <v>121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6"/>
    <col collapsed="false" customWidth="true" hidden="false" outlineLevel="0" max="4" min="4" style="0" width="36"/>
    <col collapsed="false" customWidth="true" hidden="false" outlineLevel="0" max="5" min="5" style="0" width="44"/>
    <col collapsed="false" customWidth="true" hidden="false" outlineLevel="0" max="6" min="6" style="0" width="26"/>
  </cols>
  <sheetData>
    <row r="1" customFormat="false" ht="27.75" hidden="false" customHeight="true" outlineLevel="0" collapsed="false">
      <c r="A1" s="1" t="s">
        <v>122</v>
      </c>
      <c r="B1" s="1"/>
      <c r="C1" s="1"/>
      <c r="D1" s="1"/>
      <c r="E1" s="1"/>
      <c r="F1" s="1"/>
    </row>
    <row r="2" customFormat="false" ht="15" hidden="false" customHeight="false" outlineLevel="0" collapsed="false">
      <c r="A2" s="6" t="s">
        <v>19</v>
      </c>
      <c r="B2" s="6" t="s">
        <v>123</v>
      </c>
      <c r="C2" s="6" t="s">
        <v>124</v>
      </c>
      <c r="D2" s="6" t="s">
        <v>125</v>
      </c>
      <c r="E2" s="6" t="s">
        <v>126</v>
      </c>
      <c r="F2" s="6" t="s">
        <v>127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0"/>
    <col collapsed="false" customWidth="true" hidden="false" outlineLevel="0" max="4" min="4" style="0" width="32"/>
    <col collapsed="false" customWidth="true" hidden="false" outlineLevel="0" max="5" min="5" style="0" width="36"/>
    <col collapsed="false" customWidth="true" hidden="false" outlineLevel="0" max="7" min="6" style="0" width="40"/>
  </cols>
  <sheetData>
    <row r="1" customFormat="false" ht="27.75" hidden="false" customHeight="true" outlineLevel="0" collapsed="false">
      <c r="A1" s="1" t="s">
        <v>128</v>
      </c>
      <c r="B1" s="1"/>
      <c r="C1" s="1"/>
      <c r="D1" s="1"/>
      <c r="E1" s="1"/>
      <c r="F1" s="1"/>
      <c r="G1" s="1"/>
    </row>
    <row r="2" customFormat="false" ht="15" hidden="false" customHeight="false" outlineLevel="0" collapsed="false">
      <c r="A2" s="6" t="s">
        <v>129</v>
      </c>
      <c r="B2" s="6" t="s">
        <v>22</v>
      </c>
      <c r="C2" s="6" t="s">
        <v>124</v>
      </c>
      <c r="D2" s="6" t="s">
        <v>38</v>
      </c>
      <c r="E2" s="6" t="s">
        <v>130</v>
      </c>
      <c r="F2" s="6" t="s">
        <v>131</v>
      </c>
      <c r="G2" s="6" t="s">
        <v>132</v>
      </c>
    </row>
    <row r="3" customFormat="false" ht="15" hidden="false" customHeight="false" outlineLevel="0" collapsed="false">
      <c r="A3" s="9" t="s">
        <v>133</v>
      </c>
      <c r="B3" s="9" t="s">
        <v>134</v>
      </c>
      <c r="C3" s="9" t="s">
        <v>135</v>
      </c>
      <c r="D3" s="9" t="s">
        <v>136</v>
      </c>
      <c r="E3" s="9" t="s">
        <v>137</v>
      </c>
      <c r="F3" s="9" t="s">
        <v>138</v>
      </c>
      <c r="G3" s="9" t="s">
        <v>139</v>
      </c>
    </row>
    <row r="4" customFormat="false" ht="15" hidden="false" customHeight="false" outlineLevel="0" collapsed="false">
      <c r="A4" s="9" t="s">
        <v>140</v>
      </c>
      <c r="B4" s="9" t="s">
        <v>134</v>
      </c>
      <c r="C4" s="9" t="s">
        <v>135</v>
      </c>
      <c r="D4" s="9" t="s">
        <v>141</v>
      </c>
      <c r="E4" s="9" t="s">
        <v>142</v>
      </c>
      <c r="F4" s="9" t="s">
        <v>143</v>
      </c>
      <c r="G4" s="9" t="s">
        <v>144</v>
      </c>
    </row>
    <row r="5" customFormat="false" ht="15" hidden="false" customHeight="false" outlineLevel="0" collapsed="false">
      <c r="A5" s="9" t="s">
        <v>145</v>
      </c>
      <c r="B5" s="9" t="s">
        <v>134</v>
      </c>
      <c r="C5" s="9" t="s">
        <v>135</v>
      </c>
      <c r="D5" s="9" t="s">
        <v>146</v>
      </c>
      <c r="E5" s="9" t="s">
        <v>147</v>
      </c>
      <c r="F5" s="9" t="s">
        <v>148</v>
      </c>
      <c r="G5" s="9" t="s">
        <v>149</v>
      </c>
    </row>
    <row r="6" customFormat="false" ht="15" hidden="false" customHeight="false" outlineLevel="0" collapsed="false">
      <c r="A6" s="9" t="s">
        <v>150</v>
      </c>
      <c r="B6" s="9" t="s">
        <v>134</v>
      </c>
      <c r="C6" s="9" t="s">
        <v>135</v>
      </c>
      <c r="D6" s="9" t="s">
        <v>151</v>
      </c>
      <c r="E6" s="9" t="s">
        <v>152</v>
      </c>
      <c r="F6" s="9" t="s">
        <v>153</v>
      </c>
      <c r="G6" s="9" t="s">
        <v>154</v>
      </c>
    </row>
    <row r="7" customFormat="false" ht="15" hidden="false" customHeight="false" outlineLevel="0" collapsed="false">
      <c r="A7" s="9" t="s">
        <v>155</v>
      </c>
      <c r="B7" s="9" t="s">
        <v>134</v>
      </c>
      <c r="C7" s="9" t="s">
        <v>135</v>
      </c>
      <c r="D7" s="9" t="s">
        <v>156</v>
      </c>
      <c r="E7" s="9" t="s">
        <v>157</v>
      </c>
      <c r="F7" s="9" t="s">
        <v>158</v>
      </c>
      <c r="G7" s="9" t="s">
        <v>159</v>
      </c>
    </row>
    <row r="8" customFormat="false" ht="15" hidden="false" customHeight="false" outlineLevel="0" collapsed="false">
      <c r="A8" s="9" t="s">
        <v>160</v>
      </c>
      <c r="B8" s="9" t="s">
        <v>134</v>
      </c>
      <c r="C8" s="9" t="s">
        <v>161</v>
      </c>
      <c r="D8" s="9" t="s">
        <v>162</v>
      </c>
      <c r="E8" s="9" t="s">
        <v>163</v>
      </c>
      <c r="F8" s="9" t="s">
        <v>164</v>
      </c>
      <c r="G8" s="9" t="s">
        <v>165</v>
      </c>
    </row>
    <row r="9" customFormat="false" ht="15" hidden="false" customHeight="false" outlineLevel="0" collapsed="false">
      <c r="A9" s="9" t="s">
        <v>166</v>
      </c>
      <c r="B9" s="9" t="s">
        <v>134</v>
      </c>
      <c r="C9" s="9" t="s">
        <v>161</v>
      </c>
      <c r="D9" s="9" t="s">
        <v>167</v>
      </c>
      <c r="E9" s="9" t="s">
        <v>168</v>
      </c>
      <c r="F9" s="9" t="s">
        <v>169</v>
      </c>
      <c r="G9" s="9" t="s">
        <v>170</v>
      </c>
    </row>
    <row r="10" customFormat="false" ht="15" hidden="false" customHeight="false" outlineLevel="0" collapsed="false">
      <c r="A10" s="9" t="s">
        <v>171</v>
      </c>
      <c r="B10" s="9" t="s">
        <v>134</v>
      </c>
      <c r="C10" s="9" t="s">
        <v>161</v>
      </c>
      <c r="D10" s="9" t="s">
        <v>172</v>
      </c>
      <c r="E10" s="9" t="s">
        <v>173</v>
      </c>
      <c r="F10" s="9" t="s">
        <v>174</v>
      </c>
      <c r="G10" s="9" t="s">
        <v>175</v>
      </c>
    </row>
    <row r="11" customFormat="false" ht="15" hidden="false" customHeight="false" outlineLevel="0" collapsed="false">
      <c r="A11" s="9" t="s">
        <v>176</v>
      </c>
      <c r="B11" s="9" t="s">
        <v>134</v>
      </c>
      <c r="C11" s="9" t="s">
        <v>161</v>
      </c>
      <c r="D11" s="9" t="s">
        <v>177</v>
      </c>
      <c r="E11" s="9" t="s">
        <v>178</v>
      </c>
      <c r="F11" s="9" t="s">
        <v>179</v>
      </c>
      <c r="G11" s="9" t="s">
        <v>180</v>
      </c>
    </row>
    <row r="12" customFormat="false" ht="15" hidden="false" customHeight="false" outlineLevel="0" collapsed="false">
      <c r="A12" s="9" t="s">
        <v>181</v>
      </c>
      <c r="B12" s="9" t="s">
        <v>134</v>
      </c>
      <c r="C12" s="9" t="s">
        <v>161</v>
      </c>
      <c r="D12" s="9" t="s">
        <v>182</v>
      </c>
      <c r="E12" s="9" t="s">
        <v>183</v>
      </c>
      <c r="F12" s="9" t="s">
        <v>182</v>
      </c>
      <c r="G12" s="9" t="s">
        <v>184</v>
      </c>
    </row>
    <row r="13" customFormat="false" ht="15" hidden="false" customHeight="false" outlineLevel="0" collapsed="false">
      <c r="A13" s="9" t="s">
        <v>185</v>
      </c>
      <c r="B13" s="9" t="s">
        <v>134</v>
      </c>
      <c r="C13" s="9" t="s">
        <v>186</v>
      </c>
      <c r="D13" s="9" t="s">
        <v>187</v>
      </c>
      <c r="E13" s="9" t="s">
        <v>188</v>
      </c>
      <c r="F13" s="9" t="s">
        <v>189</v>
      </c>
      <c r="G13" s="9" t="s">
        <v>190</v>
      </c>
    </row>
    <row r="14" customFormat="false" ht="15" hidden="false" customHeight="false" outlineLevel="0" collapsed="false">
      <c r="A14" s="9" t="s">
        <v>191</v>
      </c>
      <c r="B14" s="9" t="s">
        <v>134</v>
      </c>
      <c r="C14" s="9" t="s">
        <v>186</v>
      </c>
      <c r="D14" s="9" t="s">
        <v>192</v>
      </c>
      <c r="E14" s="9" t="s">
        <v>188</v>
      </c>
      <c r="F14" s="9" t="s">
        <v>193</v>
      </c>
      <c r="G14" s="9" t="s">
        <v>194</v>
      </c>
    </row>
    <row r="15" customFormat="false" ht="15" hidden="false" customHeight="false" outlineLevel="0" collapsed="false">
      <c r="A15" s="9" t="s">
        <v>195</v>
      </c>
      <c r="B15" s="9" t="s">
        <v>134</v>
      </c>
      <c r="C15" s="9" t="s">
        <v>196</v>
      </c>
      <c r="D15" s="9" t="s">
        <v>197</v>
      </c>
      <c r="E15" s="9" t="s">
        <v>198</v>
      </c>
      <c r="F15" s="9" t="s">
        <v>199</v>
      </c>
      <c r="G15" s="9" t="s">
        <v>200</v>
      </c>
    </row>
    <row r="16" customFormat="false" ht="15" hidden="false" customHeight="false" outlineLevel="0" collapsed="false">
      <c r="A16" s="9" t="s">
        <v>201</v>
      </c>
      <c r="B16" s="9" t="s">
        <v>134</v>
      </c>
      <c r="C16" s="9" t="s">
        <v>196</v>
      </c>
      <c r="D16" s="9" t="s">
        <v>202</v>
      </c>
      <c r="E16" s="9" t="s">
        <v>203</v>
      </c>
      <c r="F16" s="9" t="s">
        <v>204</v>
      </c>
      <c r="G16" s="9" t="s">
        <v>205</v>
      </c>
    </row>
    <row r="17" customFormat="false" ht="15" hidden="false" customHeight="false" outlineLevel="0" collapsed="false">
      <c r="A17" s="9" t="s">
        <v>206</v>
      </c>
      <c r="B17" s="9" t="s">
        <v>134</v>
      </c>
      <c r="C17" s="9" t="s">
        <v>196</v>
      </c>
      <c r="D17" s="9" t="s">
        <v>207</v>
      </c>
      <c r="E17" s="9" t="s">
        <v>208</v>
      </c>
      <c r="F17" s="9" t="s">
        <v>209</v>
      </c>
      <c r="G17" s="9" t="s">
        <v>210</v>
      </c>
    </row>
    <row r="18" customFormat="false" ht="15" hidden="false" customHeight="false" outlineLevel="0" collapsed="false">
      <c r="A18" s="9" t="s">
        <v>211</v>
      </c>
      <c r="B18" s="9" t="s">
        <v>134</v>
      </c>
      <c r="C18" s="9" t="s">
        <v>196</v>
      </c>
      <c r="D18" s="9" t="s">
        <v>212</v>
      </c>
      <c r="E18" s="9" t="s">
        <v>213</v>
      </c>
      <c r="F18" s="9" t="s">
        <v>214</v>
      </c>
      <c r="G18" s="9" t="s">
        <v>215</v>
      </c>
    </row>
    <row r="19" customFormat="false" ht="15" hidden="false" customHeight="false" outlineLevel="0" collapsed="false">
      <c r="A19" s="9" t="s">
        <v>216</v>
      </c>
      <c r="B19" s="9" t="s">
        <v>134</v>
      </c>
      <c r="C19" s="9" t="s">
        <v>196</v>
      </c>
      <c r="D19" s="9" t="s">
        <v>217</v>
      </c>
      <c r="E19" s="9" t="s">
        <v>182</v>
      </c>
      <c r="F19" s="9" t="s">
        <v>218</v>
      </c>
      <c r="G19" s="9" t="s">
        <v>219</v>
      </c>
    </row>
    <row r="20" customFormat="false" ht="15" hidden="false" customHeight="false" outlineLevel="0" collapsed="false">
      <c r="A20" s="9" t="s">
        <v>220</v>
      </c>
      <c r="B20" s="9" t="s">
        <v>134</v>
      </c>
      <c r="C20" s="9" t="s">
        <v>196</v>
      </c>
      <c r="D20" s="9" t="s">
        <v>221</v>
      </c>
      <c r="E20" s="9" t="s">
        <v>222</v>
      </c>
      <c r="F20" s="9" t="s">
        <v>223</v>
      </c>
      <c r="G20" s="9" t="s">
        <v>224</v>
      </c>
    </row>
    <row r="21" customFormat="false" ht="15" hidden="false" customHeight="false" outlineLevel="0" collapsed="false">
      <c r="A21" s="9" t="s">
        <v>225</v>
      </c>
      <c r="B21" s="9" t="s">
        <v>134</v>
      </c>
      <c r="C21" s="9" t="s">
        <v>196</v>
      </c>
      <c r="D21" s="9" t="s">
        <v>226</v>
      </c>
      <c r="E21" s="9" t="s">
        <v>227</v>
      </c>
      <c r="F21" s="9" t="s">
        <v>228</v>
      </c>
      <c r="G21" s="9" t="s">
        <v>229</v>
      </c>
    </row>
    <row r="22" customFormat="false" ht="15" hidden="false" customHeight="false" outlineLevel="0" collapsed="false">
      <c r="A22" s="9" t="s">
        <v>230</v>
      </c>
      <c r="B22" s="9" t="s">
        <v>134</v>
      </c>
      <c r="C22" s="9" t="s">
        <v>196</v>
      </c>
      <c r="D22" s="9" t="s">
        <v>231</v>
      </c>
      <c r="E22" s="9" t="s">
        <v>232</v>
      </c>
      <c r="F22" s="9" t="s">
        <v>233</v>
      </c>
      <c r="G22" s="9" t="s">
        <v>234</v>
      </c>
    </row>
    <row r="23" customFormat="false" ht="15" hidden="false" customHeight="false" outlineLevel="0" collapsed="false">
      <c r="A23" s="9" t="s">
        <v>235</v>
      </c>
      <c r="B23" s="9" t="s">
        <v>134</v>
      </c>
      <c r="C23" s="9" t="s">
        <v>196</v>
      </c>
      <c r="D23" s="9" t="s">
        <v>182</v>
      </c>
      <c r="E23" s="9" t="s">
        <v>236</v>
      </c>
      <c r="F23" s="9" t="s">
        <v>237</v>
      </c>
      <c r="G23" s="9" t="s">
        <v>238</v>
      </c>
    </row>
    <row r="24" customFormat="false" ht="15" hidden="false" customHeight="false" outlineLevel="0" collapsed="false">
      <c r="A24" s="9" t="s">
        <v>239</v>
      </c>
      <c r="B24" s="9" t="s">
        <v>134</v>
      </c>
      <c r="C24" s="9" t="s">
        <v>196</v>
      </c>
      <c r="D24" s="9" t="s">
        <v>182</v>
      </c>
      <c r="E24" s="9" t="s">
        <v>240</v>
      </c>
      <c r="F24" s="9" t="s">
        <v>241</v>
      </c>
      <c r="G24" s="9" t="s">
        <v>242</v>
      </c>
    </row>
    <row r="25" customFormat="false" ht="15" hidden="false" customHeight="false" outlineLevel="0" collapsed="false">
      <c r="A25" s="9" t="s">
        <v>243</v>
      </c>
      <c r="B25" s="9" t="s">
        <v>134</v>
      </c>
      <c r="C25" s="9" t="s">
        <v>196</v>
      </c>
      <c r="D25" s="9" t="s">
        <v>182</v>
      </c>
      <c r="E25" s="9" t="s">
        <v>244</v>
      </c>
      <c r="F25" s="9" t="s">
        <v>245</v>
      </c>
      <c r="G25" s="9" t="s">
        <v>246</v>
      </c>
    </row>
    <row r="26" customFormat="false" ht="15" hidden="false" customHeight="false" outlineLevel="0" collapsed="false">
      <c r="A26" s="9" t="s">
        <v>247</v>
      </c>
      <c r="B26" s="9" t="s">
        <v>134</v>
      </c>
      <c r="C26" s="9" t="s">
        <v>196</v>
      </c>
      <c r="D26" s="9" t="s">
        <v>182</v>
      </c>
      <c r="E26" s="9" t="s">
        <v>248</v>
      </c>
      <c r="F26" s="9" t="s">
        <v>249</v>
      </c>
      <c r="G26" s="9" t="s">
        <v>250</v>
      </c>
    </row>
    <row r="27" customFormat="false" ht="15" hidden="false" customHeight="false" outlineLevel="0" collapsed="false">
      <c r="A27" s="9" t="s">
        <v>251</v>
      </c>
      <c r="B27" s="9" t="s">
        <v>134</v>
      </c>
      <c r="C27" s="9" t="s">
        <v>196</v>
      </c>
      <c r="D27" s="9" t="s">
        <v>182</v>
      </c>
      <c r="E27" s="9" t="s">
        <v>252</v>
      </c>
      <c r="F27" s="9" t="s">
        <v>253</v>
      </c>
      <c r="G27" s="9" t="s">
        <v>254</v>
      </c>
    </row>
    <row r="28" customFormat="false" ht="15" hidden="false" customHeight="false" outlineLevel="0" collapsed="false">
      <c r="A28" s="9" t="s">
        <v>255</v>
      </c>
      <c r="B28" s="9" t="s">
        <v>134</v>
      </c>
      <c r="C28" s="9" t="s">
        <v>196</v>
      </c>
      <c r="D28" s="9" t="s">
        <v>182</v>
      </c>
      <c r="E28" s="9" t="s">
        <v>256</v>
      </c>
      <c r="F28" s="9" t="s">
        <v>257</v>
      </c>
      <c r="G28" s="9" t="s">
        <v>258</v>
      </c>
    </row>
    <row r="29" customFormat="false" ht="15" hidden="false" customHeight="false" outlineLevel="0" collapsed="false">
      <c r="A29" s="9" t="s">
        <v>259</v>
      </c>
      <c r="B29" s="9" t="s">
        <v>134</v>
      </c>
      <c r="C29" s="9" t="s">
        <v>196</v>
      </c>
      <c r="D29" s="9" t="s">
        <v>182</v>
      </c>
      <c r="E29" s="9" t="s">
        <v>260</v>
      </c>
      <c r="F29" s="9" t="s">
        <v>261</v>
      </c>
      <c r="G29" s="9" t="s">
        <v>262</v>
      </c>
    </row>
    <row r="30" customFormat="false" ht="15" hidden="false" customHeight="false" outlineLevel="0" collapsed="false">
      <c r="A30" s="9" t="s">
        <v>263</v>
      </c>
      <c r="B30" s="9" t="s">
        <v>134</v>
      </c>
      <c r="C30" s="9" t="s">
        <v>196</v>
      </c>
      <c r="D30" s="9" t="s">
        <v>182</v>
      </c>
      <c r="E30" s="9" t="s">
        <v>264</v>
      </c>
      <c r="F30" s="9" t="s">
        <v>265</v>
      </c>
      <c r="G30" s="9" t="s">
        <v>266</v>
      </c>
    </row>
    <row r="31" customFormat="false" ht="15" hidden="false" customHeight="false" outlineLevel="0" collapsed="false">
      <c r="A31" s="9" t="s">
        <v>267</v>
      </c>
      <c r="B31" s="9" t="s">
        <v>134</v>
      </c>
      <c r="C31" s="9" t="s">
        <v>196</v>
      </c>
      <c r="D31" s="9" t="s">
        <v>182</v>
      </c>
      <c r="E31" s="9" t="s">
        <v>268</v>
      </c>
      <c r="F31" s="9" t="s">
        <v>269</v>
      </c>
      <c r="G31" s="9" t="s">
        <v>270</v>
      </c>
    </row>
    <row r="32" customFormat="false" ht="15" hidden="false" customHeight="false" outlineLevel="0" collapsed="false">
      <c r="A32" s="9" t="s">
        <v>271</v>
      </c>
      <c r="B32" s="9" t="s">
        <v>134</v>
      </c>
      <c r="C32" s="9" t="s">
        <v>272</v>
      </c>
      <c r="D32" s="9" t="s">
        <v>273</v>
      </c>
      <c r="E32" s="9" t="s">
        <v>274</v>
      </c>
      <c r="F32" s="9" t="s">
        <v>275</v>
      </c>
      <c r="G32" s="9" t="s">
        <v>276</v>
      </c>
    </row>
    <row r="33" customFormat="false" ht="15" hidden="false" customHeight="false" outlineLevel="0" collapsed="false">
      <c r="A33" s="9" t="s">
        <v>277</v>
      </c>
      <c r="B33" s="9" t="s">
        <v>134</v>
      </c>
      <c r="C33" s="9" t="s">
        <v>272</v>
      </c>
      <c r="D33" s="9" t="s">
        <v>278</v>
      </c>
      <c r="E33" s="9" t="s">
        <v>279</v>
      </c>
      <c r="F33" s="9" t="s">
        <v>280</v>
      </c>
      <c r="G33" s="9" t="s">
        <v>281</v>
      </c>
    </row>
    <row r="34" customFormat="false" ht="15" hidden="false" customHeight="false" outlineLevel="0" collapsed="false">
      <c r="A34" s="9" t="s">
        <v>282</v>
      </c>
      <c r="B34" s="9" t="s">
        <v>134</v>
      </c>
      <c r="C34" s="9" t="s">
        <v>272</v>
      </c>
      <c r="D34" s="9" t="s">
        <v>283</v>
      </c>
      <c r="E34" s="9" t="s">
        <v>284</v>
      </c>
      <c r="F34" s="9" t="s">
        <v>285</v>
      </c>
      <c r="G34" s="9" t="s">
        <v>286</v>
      </c>
    </row>
    <row r="35" customFormat="false" ht="15" hidden="false" customHeight="false" outlineLevel="0" collapsed="false">
      <c r="A35" s="9" t="s">
        <v>287</v>
      </c>
      <c r="B35" s="9" t="s">
        <v>134</v>
      </c>
      <c r="C35" s="9" t="s">
        <v>272</v>
      </c>
      <c r="D35" s="9" t="s">
        <v>182</v>
      </c>
      <c r="E35" s="9" t="s">
        <v>288</v>
      </c>
      <c r="F35" s="9" t="s">
        <v>289</v>
      </c>
      <c r="G35" s="9" t="s">
        <v>290</v>
      </c>
    </row>
    <row r="36" customFormat="false" ht="15" hidden="false" customHeight="false" outlineLevel="0" collapsed="false">
      <c r="A36" s="9" t="s">
        <v>291</v>
      </c>
      <c r="B36" s="9" t="s">
        <v>134</v>
      </c>
      <c r="C36" s="9" t="s">
        <v>272</v>
      </c>
      <c r="D36" s="9" t="s">
        <v>182</v>
      </c>
      <c r="E36" s="9" t="s">
        <v>292</v>
      </c>
      <c r="F36" s="9" t="s">
        <v>293</v>
      </c>
      <c r="G36" s="9" t="s">
        <v>294</v>
      </c>
    </row>
    <row r="37" customFormat="false" ht="15" hidden="false" customHeight="false" outlineLevel="0" collapsed="false">
      <c r="A37" s="9" t="s">
        <v>295</v>
      </c>
      <c r="B37" s="9" t="s">
        <v>134</v>
      </c>
      <c r="C37" s="9" t="s">
        <v>272</v>
      </c>
      <c r="D37" s="9" t="s">
        <v>182</v>
      </c>
      <c r="E37" s="9" t="s">
        <v>296</v>
      </c>
      <c r="F37" s="9" t="s">
        <v>297</v>
      </c>
      <c r="G37" s="9" t="s">
        <v>298</v>
      </c>
    </row>
    <row r="38" customFormat="false" ht="23.85" hidden="false" customHeight="false" outlineLevel="0" collapsed="false">
      <c r="A38" s="9" t="s">
        <v>299</v>
      </c>
      <c r="B38" s="9" t="s">
        <v>300</v>
      </c>
      <c r="C38" s="9" t="s">
        <v>301</v>
      </c>
      <c r="D38" s="9" t="s">
        <v>302</v>
      </c>
      <c r="E38" s="9" t="s">
        <v>303</v>
      </c>
      <c r="F38" s="9" t="s">
        <v>304</v>
      </c>
      <c r="G38" s="9" t="s">
        <v>305</v>
      </c>
    </row>
    <row r="39" customFormat="false" ht="15" hidden="false" customHeight="false" outlineLevel="0" collapsed="false">
      <c r="A39" s="9" t="s">
        <v>306</v>
      </c>
      <c r="B39" s="9" t="s">
        <v>300</v>
      </c>
      <c r="C39" s="9" t="s">
        <v>307</v>
      </c>
      <c r="D39" s="9" t="s">
        <v>308</v>
      </c>
      <c r="E39" s="9" t="s">
        <v>309</v>
      </c>
      <c r="F39" s="9" t="s">
        <v>310</v>
      </c>
      <c r="G39" s="9" t="s">
        <v>311</v>
      </c>
    </row>
    <row r="40" customFormat="false" ht="15" hidden="false" customHeight="false" outlineLevel="0" collapsed="false">
      <c r="A40" s="9" t="s">
        <v>312</v>
      </c>
      <c r="B40" s="9" t="s">
        <v>300</v>
      </c>
      <c r="C40" s="9" t="s">
        <v>313</v>
      </c>
      <c r="D40" s="9" t="s">
        <v>314</v>
      </c>
      <c r="E40" s="9" t="s">
        <v>315</v>
      </c>
      <c r="F40" s="9" t="s">
        <v>316</v>
      </c>
      <c r="G40" s="9" t="s">
        <v>317</v>
      </c>
    </row>
    <row r="41" customFormat="false" ht="15" hidden="false" customHeight="false" outlineLevel="0" collapsed="false">
      <c r="A41" s="9" t="s">
        <v>318</v>
      </c>
      <c r="B41" s="9" t="s">
        <v>300</v>
      </c>
      <c r="C41" s="9" t="s">
        <v>319</v>
      </c>
      <c r="D41" s="9" t="s">
        <v>320</v>
      </c>
      <c r="E41" s="9" t="s">
        <v>321</v>
      </c>
      <c r="F41" s="9" t="s">
        <v>322</v>
      </c>
      <c r="G41" s="9" t="s">
        <v>323</v>
      </c>
    </row>
    <row r="42" customFormat="false" ht="15" hidden="false" customHeight="false" outlineLevel="0" collapsed="false">
      <c r="A42" s="9" t="s">
        <v>324</v>
      </c>
      <c r="B42" s="9" t="s">
        <v>300</v>
      </c>
      <c r="C42" s="9" t="s">
        <v>301</v>
      </c>
      <c r="D42" s="9" t="s">
        <v>325</v>
      </c>
      <c r="E42" s="9" t="s">
        <v>326</v>
      </c>
      <c r="F42" s="9" t="s">
        <v>327</v>
      </c>
      <c r="G42" s="9" t="s">
        <v>328</v>
      </c>
    </row>
    <row r="43" customFormat="false" ht="15" hidden="false" customHeight="false" outlineLevel="0" collapsed="false">
      <c r="A43" s="9" t="s">
        <v>329</v>
      </c>
      <c r="B43" s="9" t="s">
        <v>300</v>
      </c>
      <c r="C43" s="9" t="s">
        <v>330</v>
      </c>
      <c r="D43" s="9" t="s">
        <v>331</v>
      </c>
      <c r="E43" s="9" t="s">
        <v>332</v>
      </c>
      <c r="F43" s="9" t="s">
        <v>333</v>
      </c>
      <c r="G43" s="9" t="s">
        <v>334</v>
      </c>
    </row>
    <row r="44" customFormat="false" ht="23.85" hidden="false" customHeight="false" outlineLevel="0" collapsed="false">
      <c r="A44" s="9" t="s">
        <v>335</v>
      </c>
      <c r="B44" s="9" t="s">
        <v>300</v>
      </c>
      <c r="C44" s="9" t="s">
        <v>336</v>
      </c>
      <c r="D44" s="9" t="s">
        <v>337</v>
      </c>
      <c r="E44" s="9" t="s">
        <v>338</v>
      </c>
      <c r="F44" s="9" t="s">
        <v>339</v>
      </c>
      <c r="G44" s="9" t="s">
        <v>340</v>
      </c>
    </row>
    <row r="45" customFormat="false" ht="15" hidden="false" customHeight="false" outlineLevel="0" collapsed="false">
      <c r="A45" s="9" t="s">
        <v>341</v>
      </c>
      <c r="B45" s="9" t="s">
        <v>300</v>
      </c>
      <c r="C45" s="9" t="s">
        <v>319</v>
      </c>
      <c r="D45" s="9" t="s">
        <v>342</v>
      </c>
      <c r="E45" s="9" t="s">
        <v>343</v>
      </c>
      <c r="F45" s="9" t="s">
        <v>344</v>
      </c>
      <c r="G45" s="9" t="s">
        <v>345</v>
      </c>
    </row>
    <row r="46" customFormat="false" ht="15" hidden="false" customHeight="false" outlineLevel="0" collapsed="false">
      <c r="A46" s="9" t="s">
        <v>346</v>
      </c>
      <c r="B46" s="9" t="s">
        <v>347</v>
      </c>
      <c r="C46" s="9" t="s">
        <v>301</v>
      </c>
      <c r="D46" s="9" t="s">
        <v>348</v>
      </c>
      <c r="E46" s="9" t="s">
        <v>349</v>
      </c>
      <c r="F46" s="9" t="s">
        <v>350</v>
      </c>
      <c r="G46" s="9" t="s">
        <v>351</v>
      </c>
    </row>
    <row r="47" customFormat="false" ht="15" hidden="false" customHeight="false" outlineLevel="0" collapsed="false">
      <c r="A47" s="9" t="s">
        <v>352</v>
      </c>
      <c r="B47" s="9" t="s">
        <v>347</v>
      </c>
      <c r="C47" s="9" t="s">
        <v>313</v>
      </c>
      <c r="D47" s="9" t="s">
        <v>353</v>
      </c>
      <c r="E47" s="9" t="s">
        <v>354</v>
      </c>
      <c r="F47" s="9" t="s">
        <v>355</v>
      </c>
      <c r="G47" s="9" t="s">
        <v>356</v>
      </c>
    </row>
    <row r="48" customFormat="false" ht="15" hidden="false" customHeight="false" outlineLevel="0" collapsed="false">
      <c r="A48" s="9" t="s">
        <v>357</v>
      </c>
      <c r="B48" s="9" t="s">
        <v>347</v>
      </c>
      <c r="C48" s="9" t="s">
        <v>319</v>
      </c>
      <c r="D48" s="9" t="s">
        <v>358</v>
      </c>
      <c r="E48" s="9" t="s">
        <v>359</v>
      </c>
      <c r="F48" s="9" t="s">
        <v>360</v>
      </c>
      <c r="G48" s="9" t="s">
        <v>361</v>
      </c>
    </row>
    <row r="49" customFormat="false" ht="15" hidden="false" customHeight="false" outlineLevel="0" collapsed="false">
      <c r="A49" s="9" t="s">
        <v>362</v>
      </c>
      <c r="B49" s="9" t="s">
        <v>347</v>
      </c>
      <c r="C49" s="9" t="s">
        <v>319</v>
      </c>
      <c r="D49" s="9" t="s">
        <v>363</v>
      </c>
      <c r="E49" s="9" t="s">
        <v>364</v>
      </c>
      <c r="F49" s="9" t="s">
        <v>365</v>
      </c>
      <c r="G49" s="9" t="s">
        <v>366</v>
      </c>
    </row>
    <row r="50" customFormat="false" ht="15" hidden="false" customHeight="false" outlineLevel="0" collapsed="false">
      <c r="A50" s="9" t="s">
        <v>367</v>
      </c>
      <c r="B50" s="9" t="s">
        <v>347</v>
      </c>
      <c r="C50" s="9" t="s">
        <v>319</v>
      </c>
      <c r="D50" s="9" t="s">
        <v>368</v>
      </c>
      <c r="E50" s="9" t="s">
        <v>369</v>
      </c>
      <c r="F50" s="9" t="s">
        <v>370</v>
      </c>
      <c r="G50" s="9" t="s">
        <v>371</v>
      </c>
    </row>
    <row r="51" customFormat="false" ht="15" hidden="false" customHeight="false" outlineLevel="0" collapsed="false">
      <c r="A51" s="9" t="s">
        <v>372</v>
      </c>
      <c r="B51" s="9" t="s">
        <v>347</v>
      </c>
      <c r="C51" s="9" t="s">
        <v>307</v>
      </c>
      <c r="D51" s="9" t="s">
        <v>373</v>
      </c>
      <c r="E51" s="9" t="s">
        <v>374</v>
      </c>
      <c r="F51" s="9" t="s">
        <v>375</v>
      </c>
      <c r="G51" s="9" t="s">
        <v>376</v>
      </c>
    </row>
    <row r="52" customFormat="false" ht="15" hidden="false" customHeight="false" outlineLevel="0" collapsed="false">
      <c r="A52" s="9" t="s">
        <v>377</v>
      </c>
      <c r="B52" s="9" t="s">
        <v>347</v>
      </c>
      <c r="C52" s="9" t="s">
        <v>313</v>
      </c>
      <c r="D52" s="9" t="s">
        <v>378</v>
      </c>
      <c r="E52" s="9" t="s">
        <v>379</v>
      </c>
      <c r="F52" s="9" t="s">
        <v>380</v>
      </c>
      <c r="G52" s="9" t="s">
        <v>381</v>
      </c>
    </row>
    <row r="53" customFormat="false" ht="15" hidden="false" customHeight="false" outlineLevel="0" collapsed="false">
      <c r="A53" s="9" t="s">
        <v>382</v>
      </c>
      <c r="B53" s="9" t="s">
        <v>347</v>
      </c>
      <c r="C53" s="9" t="s">
        <v>301</v>
      </c>
      <c r="D53" s="9" t="s">
        <v>383</v>
      </c>
      <c r="E53" s="9" t="s">
        <v>384</v>
      </c>
      <c r="F53" s="9" t="s">
        <v>385</v>
      </c>
      <c r="G53" s="9" t="s">
        <v>386</v>
      </c>
    </row>
    <row r="54" customFormat="false" ht="15" hidden="false" customHeight="false" outlineLevel="0" collapsed="false">
      <c r="A54" s="9" t="s">
        <v>387</v>
      </c>
      <c r="B54" s="9" t="s">
        <v>39</v>
      </c>
      <c r="C54" s="9" t="s">
        <v>301</v>
      </c>
      <c r="D54" s="9" t="s">
        <v>388</v>
      </c>
      <c r="E54" s="9" t="s">
        <v>389</v>
      </c>
      <c r="F54" s="9" t="s">
        <v>390</v>
      </c>
      <c r="G54" s="9" t="s">
        <v>391</v>
      </c>
    </row>
    <row r="55" customFormat="false" ht="15" hidden="false" customHeight="false" outlineLevel="0" collapsed="false">
      <c r="A55" s="9" t="s">
        <v>392</v>
      </c>
      <c r="B55" s="9" t="s">
        <v>39</v>
      </c>
      <c r="C55" s="9" t="s">
        <v>301</v>
      </c>
      <c r="D55" s="9" t="s">
        <v>393</v>
      </c>
      <c r="E55" s="9" t="s">
        <v>394</v>
      </c>
      <c r="F55" s="9" t="s">
        <v>395</v>
      </c>
      <c r="G55" s="9" t="s">
        <v>396</v>
      </c>
    </row>
    <row r="56" customFormat="false" ht="15" hidden="false" customHeight="false" outlineLevel="0" collapsed="false">
      <c r="A56" s="9" t="s">
        <v>397</v>
      </c>
      <c r="B56" s="9" t="s">
        <v>39</v>
      </c>
      <c r="C56" s="9" t="s">
        <v>336</v>
      </c>
      <c r="D56" s="9" t="s">
        <v>398</v>
      </c>
      <c r="E56" s="9" t="s">
        <v>399</v>
      </c>
      <c r="F56" s="9" t="s">
        <v>400</v>
      </c>
      <c r="G56" s="9" t="s">
        <v>401</v>
      </c>
    </row>
    <row r="57" customFormat="false" ht="23.85" hidden="false" customHeight="false" outlineLevel="0" collapsed="false">
      <c r="A57" s="9" t="s">
        <v>402</v>
      </c>
      <c r="B57" s="9" t="s">
        <v>39</v>
      </c>
      <c r="C57" s="9" t="s">
        <v>319</v>
      </c>
      <c r="D57" s="9" t="s">
        <v>403</v>
      </c>
      <c r="E57" s="9" t="s">
        <v>404</v>
      </c>
      <c r="F57" s="9" t="s">
        <v>405</v>
      </c>
      <c r="G57" s="9" t="s">
        <v>406</v>
      </c>
    </row>
    <row r="58" customFormat="false" ht="15" hidden="false" customHeight="false" outlineLevel="0" collapsed="false">
      <c r="A58" s="9" t="s">
        <v>407</v>
      </c>
      <c r="B58" s="9" t="s">
        <v>39</v>
      </c>
      <c r="C58" s="9" t="s">
        <v>319</v>
      </c>
      <c r="D58" s="9" t="s">
        <v>408</v>
      </c>
      <c r="E58" s="9" t="s">
        <v>409</v>
      </c>
      <c r="F58" s="9" t="s">
        <v>410</v>
      </c>
      <c r="G58" s="9" t="s">
        <v>411</v>
      </c>
    </row>
    <row r="59" customFormat="false" ht="15" hidden="false" customHeight="false" outlineLevel="0" collapsed="false">
      <c r="A59" s="9" t="s">
        <v>412</v>
      </c>
      <c r="B59" s="9" t="s">
        <v>39</v>
      </c>
      <c r="C59" s="9" t="s">
        <v>307</v>
      </c>
      <c r="D59" s="9" t="s">
        <v>413</v>
      </c>
      <c r="E59" s="9" t="s">
        <v>414</v>
      </c>
      <c r="F59" s="9" t="s">
        <v>415</v>
      </c>
      <c r="G59" s="9" t="s">
        <v>416</v>
      </c>
    </row>
    <row r="60" customFormat="false" ht="15" hidden="false" customHeight="false" outlineLevel="0" collapsed="false">
      <c r="A60" s="9" t="s">
        <v>417</v>
      </c>
      <c r="B60" s="9" t="s">
        <v>39</v>
      </c>
      <c r="C60" s="9" t="s">
        <v>313</v>
      </c>
      <c r="D60" s="9" t="s">
        <v>418</v>
      </c>
      <c r="E60" s="9" t="s">
        <v>419</v>
      </c>
      <c r="F60" s="9" t="s">
        <v>420</v>
      </c>
      <c r="G60" s="9" t="s">
        <v>421</v>
      </c>
    </row>
    <row r="61" customFormat="false" ht="15" hidden="false" customHeight="false" outlineLevel="0" collapsed="false">
      <c r="A61" s="9" t="s">
        <v>422</v>
      </c>
      <c r="B61" s="9" t="s">
        <v>39</v>
      </c>
      <c r="C61" s="9" t="s">
        <v>319</v>
      </c>
      <c r="D61" s="9" t="s">
        <v>423</v>
      </c>
      <c r="E61" s="9" t="s">
        <v>424</v>
      </c>
      <c r="F61" s="9" t="s">
        <v>425</v>
      </c>
      <c r="G61" s="9" t="s">
        <v>426</v>
      </c>
    </row>
  </sheetData>
  <autoFilter ref="A2:G61"/>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2"/>
    <col collapsed="false" customWidth="true" hidden="false" outlineLevel="0" max="4" min="4" style="0" width="50"/>
    <col collapsed="false" customWidth="true" hidden="false" outlineLevel="0" max="5" min="5" style="0" width="60"/>
  </cols>
  <sheetData>
    <row r="1" customFormat="false" ht="27.75" hidden="false" customHeight="true" outlineLevel="0" collapsed="false">
      <c r="A1" s="1" t="s">
        <v>427</v>
      </c>
      <c r="B1" s="1"/>
      <c r="C1" s="1"/>
      <c r="D1" s="1"/>
      <c r="E1" s="1"/>
    </row>
    <row r="2" customFormat="false" ht="15" hidden="false" customHeight="false" outlineLevel="0" collapsed="false">
      <c r="A2" s="6" t="s">
        <v>12</v>
      </c>
      <c r="B2" s="6" t="s">
        <v>428</v>
      </c>
      <c r="C2" s="6" t="s">
        <v>429</v>
      </c>
      <c r="D2" s="6" t="s">
        <v>430</v>
      </c>
      <c r="E2" s="6" t="s">
        <v>431</v>
      </c>
    </row>
    <row r="3" customFormat="false" ht="23.85" hidden="false" customHeight="false" outlineLevel="0" collapsed="false">
      <c r="A3" s="9" t="s">
        <v>13</v>
      </c>
      <c r="B3" s="9" t="s">
        <v>432</v>
      </c>
      <c r="C3" s="9" t="s">
        <v>433</v>
      </c>
      <c r="D3" s="9" t="s">
        <v>434</v>
      </c>
      <c r="E3" s="9" t="s">
        <v>435</v>
      </c>
    </row>
    <row r="4" customFormat="false" ht="23.85" hidden="false" customHeight="false" outlineLevel="0" collapsed="false">
      <c r="A4" s="9" t="s">
        <v>14</v>
      </c>
      <c r="B4" s="9" t="s">
        <v>436</v>
      </c>
      <c r="C4" s="9" t="s">
        <v>433</v>
      </c>
      <c r="D4" s="9" t="s">
        <v>437</v>
      </c>
      <c r="E4" s="9" t="s">
        <v>438</v>
      </c>
    </row>
    <row r="5" customFormat="false" ht="23.85" hidden="false" customHeight="false" outlineLevel="0" collapsed="false">
      <c r="A5" s="9" t="s">
        <v>15</v>
      </c>
      <c r="B5" s="9" t="s">
        <v>439</v>
      </c>
      <c r="C5" s="9" t="s">
        <v>433</v>
      </c>
      <c r="D5" s="9" t="s">
        <v>440</v>
      </c>
      <c r="E5" s="9" t="s">
        <v>441</v>
      </c>
    </row>
    <row r="6" customFormat="false" ht="15" hidden="false" customHeight="false" outlineLevel="0" collapsed="false">
      <c r="A6" s="9" t="s">
        <v>16</v>
      </c>
      <c r="B6" s="9" t="s">
        <v>442</v>
      </c>
      <c r="C6" s="9" t="s">
        <v>443</v>
      </c>
      <c r="D6" s="9" t="s">
        <v>444</v>
      </c>
      <c r="E6" s="9" t="s">
        <v>445</v>
      </c>
    </row>
    <row r="7" customFormat="false" ht="15" hidden="false" customHeight="false" outlineLevel="0" collapsed="false">
      <c r="A7" s="9" t="s">
        <v>17</v>
      </c>
      <c r="B7" s="9" t="s">
        <v>446</v>
      </c>
      <c r="C7" s="9" t="s">
        <v>443</v>
      </c>
      <c r="D7" s="9" t="s">
        <v>447</v>
      </c>
      <c r="E7" s="9" t="s">
        <v>448</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80"/>
    <col collapsed="false" customWidth="true" hidden="false" outlineLevel="0" max="3" min="3" style="0" width="10"/>
  </cols>
  <sheetData>
    <row r="1" customFormat="false" ht="27.75" hidden="false" customHeight="true" outlineLevel="0" collapsed="false">
      <c r="A1" s="1" t="s">
        <v>449</v>
      </c>
      <c r="B1" s="1"/>
      <c r="C1" s="1"/>
    </row>
    <row r="2" customFormat="false" ht="15" hidden="false" customHeight="false" outlineLevel="0" collapsed="false">
      <c r="A2" s="6" t="s">
        <v>450</v>
      </c>
      <c r="B2" s="6" t="s">
        <v>451</v>
      </c>
      <c r="C2" s="6" t="s">
        <v>452</v>
      </c>
    </row>
    <row r="3" customFormat="false" ht="15" hidden="false" customHeight="false" outlineLevel="0" collapsed="false">
      <c r="A3" s="9" t="s">
        <v>453</v>
      </c>
      <c r="B3" s="9" t="s">
        <v>454</v>
      </c>
      <c r="C3" s="11"/>
    </row>
    <row r="4" customFormat="false" ht="15" hidden="false" customHeight="false" outlineLevel="0" collapsed="false">
      <c r="A4" s="9" t="s">
        <v>453</v>
      </c>
      <c r="B4" s="9" t="s">
        <v>455</v>
      </c>
      <c r="C4" s="11"/>
    </row>
    <row r="5" customFormat="false" ht="15" hidden="false" customHeight="false" outlineLevel="0" collapsed="false">
      <c r="A5" s="9" t="s">
        <v>453</v>
      </c>
      <c r="B5" s="9" t="s">
        <v>456</v>
      </c>
      <c r="C5" s="11"/>
    </row>
    <row r="6" customFormat="false" ht="15" hidden="false" customHeight="false" outlineLevel="0" collapsed="false">
      <c r="A6" s="9" t="s">
        <v>457</v>
      </c>
      <c r="B6" s="9" t="s">
        <v>458</v>
      </c>
      <c r="C6" s="11"/>
    </row>
    <row r="7" customFormat="false" ht="15" hidden="false" customHeight="false" outlineLevel="0" collapsed="false">
      <c r="A7" s="9" t="s">
        <v>457</v>
      </c>
      <c r="B7" s="9" t="s">
        <v>459</v>
      </c>
      <c r="C7" s="11"/>
    </row>
    <row r="8" customFormat="false" ht="15" hidden="false" customHeight="false" outlineLevel="0" collapsed="false">
      <c r="A8" s="9" t="s">
        <v>457</v>
      </c>
      <c r="B8" s="9" t="s">
        <v>460</v>
      </c>
      <c r="C8" s="11"/>
    </row>
    <row r="9" customFormat="false" ht="15" hidden="false" customHeight="false" outlineLevel="0" collapsed="false">
      <c r="A9" s="9" t="s">
        <v>461</v>
      </c>
      <c r="B9" s="9" t="s">
        <v>462</v>
      </c>
      <c r="C9" s="11"/>
    </row>
    <row r="10" customFormat="false" ht="15" hidden="false" customHeight="false" outlineLevel="0" collapsed="false">
      <c r="A10" s="9" t="s">
        <v>461</v>
      </c>
      <c r="B10" s="9" t="s">
        <v>463</v>
      </c>
      <c r="C10" s="11"/>
    </row>
    <row r="11" customFormat="false" ht="15" hidden="false" customHeight="false" outlineLevel="0" collapsed="false">
      <c r="A11" s="9" t="s">
        <v>461</v>
      </c>
      <c r="B11" s="9" t="s">
        <v>464</v>
      </c>
      <c r="C11" s="11"/>
    </row>
    <row r="12" customFormat="false" ht="15" hidden="false" customHeight="false" outlineLevel="0" collapsed="false">
      <c r="A12" s="9" t="s">
        <v>465</v>
      </c>
      <c r="B12" s="9" t="s">
        <v>466</v>
      </c>
      <c r="C12" s="11"/>
    </row>
    <row r="13" customFormat="false" ht="15" hidden="false" customHeight="false" outlineLevel="0" collapsed="false">
      <c r="A13" s="9" t="s">
        <v>465</v>
      </c>
      <c r="B13" s="9" t="s">
        <v>467</v>
      </c>
      <c r="C13" s="11"/>
    </row>
    <row r="14" customFormat="false" ht="15" hidden="false" customHeight="false" outlineLevel="0" collapsed="false">
      <c r="A14" s="9" t="s">
        <v>465</v>
      </c>
      <c r="B14" s="9" t="s">
        <v>468</v>
      </c>
      <c r="C14" s="11"/>
    </row>
    <row r="15" customFormat="false" ht="15" hidden="false" customHeight="false" outlineLevel="0" collapsed="false">
      <c r="A15" s="9" t="s">
        <v>469</v>
      </c>
      <c r="B15" s="9" t="s">
        <v>470</v>
      </c>
      <c r="C15" s="11"/>
    </row>
    <row r="16" customFormat="false" ht="15" hidden="false" customHeight="false" outlineLevel="0" collapsed="false">
      <c r="A16" s="9" t="s">
        <v>469</v>
      </c>
      <c r="B16" s="9" t="s">
        <v>471</v>
      </c>
      <c r="C16" s="11"/>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80"/>
  </cols>
  <sheetData>
    <row r="1" customFormat="false" ht="27.75" hidden="false" customHeight="true" outlineLevel="0" collapsed="false">
      <c r="A1" s="1" t="s">
        <v>472</v>
      </c>
      <c r="B1" s="1"/>
      <c r="C1" s="1"/>
    </row>
    <row r="2" customFormat="false" ht="15" hidden="false" customHeight="false" outlineLevel="0" collapsed="false">
      <c r="A2" s="6" t="s">
        <v>19</v>
      </c>
      <c r="B2" s="6" t="s">
        <v>473</v>
      </c>
      <c r="C2" s="6" t="s">
        <v>474</v>
      </c>
    </row>
    <row r="3" customFormat="false" ht="15" hidden="false" customHeight="false" outlineLevel="0" collapsed="false">
      <c r="A3" s="9" t="s">
        <v>51</v>
      </c>
      <c r="B3" s="9" t="s">
        <v>475</v>
      </c>
      <c r="C3" s="9" t="s">
        <v>476</v>
      </c>
    </row>
    <row r="4" customFormat="false" ht="15" hidden="false" customHeight="false" outlineLevel="0" collapsed="false">
      <c r="A4" s="9" t="s">
        <v>63</v>
      </c>
      <c r="B4" s="9" t="s">
        <v>475</v>
      </c>
      <c r="C4" s="9" t="s">
        <v>476</v>
      </c>
    </row>
    <row r="5" customFormat="false" ht="15" hidden="false" customHeight="false" outlineLevel="0" collapsed="false">
      <c r="A5" s="9" t="s">
        <v>87</v>
      </c>
      <c r="B5" s="9" t="s">
        <v>475</v>
      </c>
      <c r="C5" s="9" t="s">
        <v>476</v>
      </c>
    </row>
    <row r="6" customFormat="false" ht="15" hidden="false" customHeight="false" outlineLevel="0" collapsed="false">
      <c r="A6" s="9" t="s">
        <v>87</v>
      </c>
      <c r="B6" s="9" t="s">
        <v>475</v>
      </c>
      <c r="C6" s="9" t="s">
        <v>477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2026-10-20T09:41:58Z</dcterms:created>
  <dc:creator>openpyxl</dc:creator>
  <dc:description/>
  <dc:language>en-US</dc:language>
  <cp:lastModifiedBy/>
  <dcterms:modified xsi:type="dcterms:W3CDTF">2026-10-20T09:41:59Z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